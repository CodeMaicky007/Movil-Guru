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cmig\movil_guru\presupuestos\"/>
    </mc:Choice>
  </mc:AlternateContent>
  <xr:revisionPtr revIDLastSave="0" documentId="8_{DDE30621-8027-47D4-A6A3-C69C8A179A8D}" xr6:coauthVersionLast="47" xr6:coauthVersionMax="47" xr10:uidLastSave="{00000000-0000-0000-0000-000000000000}"/>
  <bookViews>
    <workbookView xWindow="-110" yWindow="-110" windowWidth="38620" windowHeight="21100" tabRatio="500" xr2:uid="{00000000-000D-0000-FFFF-FFFF00000000}"/>
  </bookViews>
  <sheets>
    <sheet name="LEÓN" sheetId="1" r:id="rId1"/>
    <sheet name="BURGOS" sheetId="2" r:id="rId2"/>
    <sheet name="VLL CENTRO" sheetId="3" r:id="rId3"/>
    <sheet name="VLL ZORRILLA" sheetId="4" r:id="rId4"/>
    <sheet name="📊 Resumen Consolidado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4" i="5" l="1"/>
  <c r="C24" i="5"/>
  <c r="F23" i="5"/>
  <c r="E23" i="5"/>
  <c r="D23" i="5"/>
  <c r="G23" i="5" s="1"/>
  <c r="C23" i="5"/>
  <c r="F22" i="5"/>
  <c r="E22" i="5"/>
  <c r="D22" i="5"/>
  <c r="C22" i="5"/>
  <c r="G22" i="5" s="1"/>
  <c r="G21" i="5"/>
  <c r="F21" i="5"/>
  <c r="E21" i="5"/>
  <c r="D21" i="5"/>
  <c r="C21" i="5"/>
  <c r="F20" i="5"/>
  <c r="E20" i="5"/>
  <c r="G20" i="5" s="1"/>
  <c r="D20" i="5"/>
  <c r="C20" i="5"/>
  <c r="F19" i="5"/>
  <c r="E19" i="5"/>
  <c r="D19" i="5"/>
  <c r="C19" i="5"/>
  <c r="G19" i="5" s="1"/>
  <c r="F18" i="5"/>
  <c r="E18" i="5"/>
  <c r="D18" i="5"/>
  <c r="C18" i="5"/>
  <c r="G18" i="5" s="1"/>
  <c r="F17" i="5"/>
  <c r="E17" i="5"/>
  <c r="D17" i="5"/>
  <c r="G17" i="5" s="1"/>
  <c r="C17" i="5"/>
  <c r="F16" i="5"/>
  <c r="E16" i="5"/>
  <c r="D16" i="5"/>
  <c r="C16" i="5"/>
  <c r="G16" i="5" s="1"/>
  <c r="F14" i="5"/>
  <c r="E14" i="5"/>
  <c r="D14" i="5"/>
  <c r="C14" i="5"/>
  <c r="G14" i="5" s="1"/>
  <c r="F13" i="5"/>
  <c r="E13" i="5"/>
  <c r="D13" i="5"/>
  <c r="C13" i="5"/>
  <c r="G13" i="5" s="1"/>
  <c r="F12" i="5"/>
  <c r="E12" i="5"/>
  <c r="D12" i="5"/>
  <c r="C12" i="5"/>
  <c r="G12" i="5" s="1"/>
  <c r="F11" i="5"/>
  <c r="E11" i="5"/>
  <c r="D11" i="5"/>
  <c r="C11" i="5"/>
  <c r="G11" i="5" s="1"/>
  <c r="F10" i="5"/>
  <c r="E10" i="5"/>
  <c r="D10" i="5"/>
  <c r="C10" i="5"/>
  <c r="G10" i="5" s="1"/>
  <c r="G9" i="5"/>
  <c r="F9" i="5"/>
  <c r="E9" i="5"/>
  <c r="D9" i="5"/>
  <c r="C9" i="5"/>
  <c r="F8" i="5"/>
  <c r="E8" i="5"/>
  <c r="D8" i="5"/>
  <c r="F7" i="5"/>
  <c r="E7" i="5"/>
  <c r="G7" i="5" s="1"/>
  <c r="D7" i="5"/>
  <c r="C7" i="5"/>
  <c r="F6" i="5"/>
  <c r="G6" i="5" s="1"/>
  <c r="E6" i="5"/>
  <c r="D6" i="5"/>
  <c r="C6" i="5"/>
  <c r="D30" i="4"/>
  <c r="C30" i="4"/>
  <c r="E29" i="4"/>
  <c r="F29" i="4" s="1"/>
  <c r="E28" i="4"/>
  <c r="E30" i="4" s="1"/>
  <c r="M24" i="4"/>
  <c r="L24" i="4"/>
  <c r="K24" i="4"/>
  <c r="E24" i="4"/>
  <c r="D24" i="4"/>
  <c r="C24" i="4"/>
  <c r="F24" i="5" s="1"/>
  <c r="O23" i="4"/>
  <c r="O22" i="4"/>
  <c r="O21" i="4"/>
  <c r="O20" i="4"/>
  <c r="O19" i="4"/>
  <c r="O18" i="4"/>
  <c r="O17" i="4"/>
  <c r="O16" i="4"/>
  <c r="O14" i="4"/>
  <c r="O13" i="4"/>
  <c r="O12" i="4"/>
  <c r="O11" i="4"/>
  <c r="O10" i="4"/>
  <c r="O9" i="4"/>
  <c r="N8" i="4"/>
  <c r="N24" i="4" s="1"/>
  <c r="M8" i="4"/>
  <c r="L8" i="4"/>
  <c r="K8" i="4"/>
  <c r="J8" i="4"/>
  <c r="J24" i="4" s="1"/>
  <c r="I8" i="4"/>
  <c r="I24" i="4" s="1"/>
  <c r="H8" i="4"/>
  <c r="H24" i="4" s="1"/>
  <c r="G8" i="4"/>
  <c r="G24" i="4" s="1"/>
  <c r="F8" i="4"/>
  <c r="F24" i="4" s="1"/>
  <c r="E8" i="4"/>
  <c r="D8" i="4"/>
  <c r="C8" i="4"/>
  <c r="O7" i="4"/>
  <c r="O6" i="4"/>
  <c r="D30" i="3"/>
  <c r="C30" i="3"/>
  <c r="E29" i="3"/>
  <c r="F29" i="3" s="1"/>
  <c r="F28" i="3"/>
  <c r="E28" i="3"/>
  <c r="E30" i="3" s="1"/>
  <c r="N24" i="3"/>
  <c r="M24" i="3"/>
  <c r="G24" i="3"/>
  <c r="F24" i="3"/>
  <c r="E24" i="3"/>
  <c r="D24" i="3"/>
  <c r="C24" i="3"/>
  <c r="O23" i="3"/>
  <c r="O22" i="3"/>
  <c r="O21" i="3"/>
  <c r="O20" i="3"/>
  <c r="O19" i="3"/>
  <c r="O18" i="3"/>
  <c r="O17" i="3"/>
  <c r="O16" i="3"/>
  <c r="O14" i="3"/>
  <c r="O13" i="3"/>
  <c r="O12" i="3"/>
  <c r="O11" i="3"/>
  <c r="O10" i="3"/>
  <c r="O9" i="3"/>
  <c r="N8" i="3"/>
  <c r="M8" i="3"/>
  <c r="L8" i="3"/>
  <c r="L24" i="3" s="1"/>
  <c r="K8" i="3"/>
  <c r="K24" i="3" s="1"/>
  <c r="J8" i="3"/>
  <c r="J24" i="3" s="1"/>
  <c r="I8" i="3"/>
  <c r="I24" i="3" s="1"/>
  <c r="H8" i="3"/>
  <c r="H24" i="3" s="1"/>
  <c r="G8" i="3"/>
  <c r="F8" i="3"/>
  <c r="E8" i="3"/>
  <c r="D8" i="3"/>
  <c r="C8" i="3"/>
  <c r="O7" i="3"/>
  <c r="O6" i="3"/>
  <c r="D30" i="2"/>
  <c r="C30" i="2"/>
  <c r="F29" i="2"/>
  <c r="E29" i="2"/>
  <c r="E28" i="2"/>
  <c r="F28" i="2" s="1"/>
  <c r="F30" i="2" s="1"/>
  <c r="I24" i="2"/>
  <c r="H24" i="2"/>
  <c r="G24" i="2"/>
  <c r="F24" i="2"/>
  <c r="E24" i="2"/>
  <c r="D24" i="2"/>
  <c r="C24" i="2"/>
  <c r="D24" i="5" s="1"/>
  <c r="G24" i="5" s="1"/>
  <c r="O23" i="2"/>
  <c r="O22" i="2"/>
  <c r="O21" i="2"/>
  <c r="O20" i="2"/>
  <c r="O19" i="2"/>
  <c r="O18" i="2"/>
  <c r="O17" i="2"/>
  <c r="O16" i="2"/>
  <c r="O14" i="2"/>
  <c r="O13" i="2"/>
  <c r="O12" i="2"/>
  <c r="O11" i="2"/>
  <c r="O10" i="2"/>
  <c r="O9" i="2"/>
  <c r="N8" i="2"/>
  <c r="N24" i="2" s="1"/>
  <c r="M8" i="2"/>
  <c r="M24" i="2" s="1"/>
  <c r="L8" i="2"/>
  <c r="L24" i="2" s="1"/>
  <c r="K8" i="2"/>
  <c r="K24" i="2" s="1"/>
  <c r="J8" i="2"/>
  <c r="J24" i="2" s="1"/>
  <c r="I8" i="2"/>
  <c r="H8" i="2"/>
  <c r="G8" i="2"/>
  <c r="F8" i="2"/>
  <c r="E8" i="2"/>
  <c r="D8" i="2"/>
  <c r="C8" i="2"/>
  <c r="O7" i="2"/>
  <c r="O6" i="2"/>
  <c r="D30" i="1"/>
  <c r="C30" i="1"/>
  <c r="E29" i="1"/>
  <c r="F29" i="1" s="1"/>
  <c r="F28" i="1"/>
  <c r="E28" i="1"/>
  <c r="K24" i="1"/>
  <c r="J24" i="1"/>
  <c r="I24" i="1"/>
  <c r="H24" i="1"/>
  <c r="G24" i="1"/>
  <c r="F24" i="1"/>
  <c r="E24" i="1"/>
  <c r="D24" i="1"/>
  <c r="C24" i="1"/>
  <c r="O23" i="1"/>
  <c r="O22" i="1"/>
  <c r="O21" i="1"/>
  <c r="O20" i="1"/>
  <c r="O19" i="1"/>
  <c r="O18" i="1"/>
  <c r="O17" i="1"/>
  <c r="O16" i="1"/>
  <c r="O14" i="1"/>
  <c r="O13" i="1"/>
  <c r="O12" i="1"/>
  <c r="O11" i="1"/>
  <c r="O10" i="1"/>
  <c r="O9" i="1"/>
  <c r="N8" i="1"/>
  <c r="N24" i="1" s="1"/>
  <c r="M8" i="1"/>
  <c r="M24" i="1" s="1"/>
  <c r="L8" i="1"/>
  <c r="L24" i="1" s="1"/>
  <c r="K8" i="1"/>
  <c r="J8" i="1"/>
  <c r="I8" i="1"/>
  <c r="H8" i="1"/>
  <c r="G8" i="1"/>
  <c r="F8" i="1"/>
  <c r="E8" i="1"/>
  <c r="D8" i="1"/>
  <c r="C8" i="1"/>
  <c r="O8" i="1" s="1"/>
  <c r="O7" i="1"/>
  <c r="O6" i="1"/>
  <c r="O24" i="1" s="1"/>
  <c r="F30" i="1" l="1"/>
  <c r="F30" i="3"/>
  <c r="O8" i="3"/>
  <c r="O24" i="3" s="1"/>
  <c r="C8" i="5"/>
  <c r="G8" i="5" s="1"/>
  <c r="E30" i="1"/>
  <c r="O8" i="2"/>
  <c r="O24" i="2" s="1"/>
  <c r="F28" i="4"/>
  <c r="F30" i="4" s="1"/>
  <c r="E30" i="2"/>
  <c r="O8" i="4"/>
  <c r="O24" i="4" s="1"/>
</calcChain>
</file>

<file path=xl/sharedStrings.xml><?xml version="1.0" encoding="utf-8"?>
<sst xmlns="http://schemas.openxmlformats.org/spreadsheetml/2006/main" count="203" uniqueCount="55">
  <si>
    <t>GASTOS MENSUALES — 🦁 LEÓN — CASCO ANTIGUO
72 m²  ·  Alquiler: Precio sin IVA (no indicado en anuncio)</t>
  </si>
  <si>
    <t>CONCEPTO DE GASTO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</si>
  <si>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</si>
  <si>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</si>
  <si>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</si>
  <si>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</si>
  <si>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</si>
  <si>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</si>
  <si>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</si>
  <si>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</si>
  <si>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</si>
  <si>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</si>
  <si>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</si>
  <si>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</si>
  <si>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</t>
  </si>
  <si>
    <t>COSTES FIJOS</t>
  </si>
  <si>
    <t xml:space="preserve">  Alquiler local</t>
  </si>
  <si>
    <t xml:space="preserve">  Sueldos brutos personal</t>
  </si>
  <si>
    <t xml:space="preserve">  Seguridad Social empresa (~30%)</t>
  </si>
  <si>
    <t xml:space="preserve">  Suministros (luz + agua + internet)</t>
  </si>
  <si>
    <t xml:space="preserve">  Seguro multirriesgo (mensualidad)</t>
  </si>
  <si>
    <t xml:space="preserve">  Software ERP / TPV (mensualidad)</t>
  </si>
  <si>
    <t xml:space="preserve">  Asesoría / gestoría (parte proporcional)</t>
  </si>
  <si>
    <t xml:space="preserve">  Limpieza profesional</t>
  </si>
  <si>
    <t xml:space="preserve">  Mantenimiento preventivo</t>
  </si>
  <si>
    <t>COSTES VARIABLES</t>
  </si>
  <si>
    <t xml:space="preserve">  Reposición stock piezas reparación</t>
  </si>
  <si>
    <t xml:space="preserve">  Reposición stock dispositivos</t>
  </si>
  <si>
    <t xml:space="preserve">  Logística y mensajería</t>
  </si>
  <si>
    <t xml:space="preserve">  Publicidad local (Google/Meta)</t>
  </si>
  <si>
    <t xml:space="preserve">  Consumibles de taller</t>
  </si>
  <si>
    <t xml:space="preserve">  Materiales de embalaje</t>
  </si>
  <si>
    <t xml:space="preserve">  Gastos financieros / banco</t>
  </si>
  <si>
    <t xml:space="preserve">  Otros gastos operativos</t>
  </si>
  <si>
    <t>✅  TOTAL GASTOS MENSUALES</t>
  </si>
  <si>
    <t>👥  DETALLE DE PERSONAL</t>
  </si>
  <si>
    <t>Puesto</t>
  </si>
  <si>
    <t>Neto/mes (aprox.)</t>
  </si>
  <si>
    <t>Bruto/mes</t>
  </si>
  <si>
    <t>SS empresa (30%)</t>
  </si>
  <si>
    <t>Coste total/mes</t>
  </si>
  <si>
    <t>Técnico reparaciones</t>
  </si>
  <si>
    <t>Vendedor/a</t>
  </si>
  <si>
    <t>Total coste personal/mes</t>
  </si>
  <si>
    <t>GASTOS MENSUALES — 🏰 BURGOS — CASCO ANTIGUO
110 m²  ·  Alquiler: ⚠️ 1.300 € + IVA 21% = 1.573 € real</t>
  </si>
  <si>
    <t>GASTOS MENSUALES — 🏙️ VALLADOLID — CENTRO
62 m²  ·  Alquiler: C/ Duque de la Victoria, 3 — zona prime</t>
  </si>
  <si>
    <t>GASTOS MENSUALES — 🌳 VALLADOLID — ZORRILLA
68 m²  ·  Alquiler: Paseo Zorrilla 177, Covaresa — barrio residencial</t>
  </si>
  <si>
    <t>RESUMEN CONSOLIDADO — GASTOS MENSUALES 4 TIENDAS</t>
  </si>
  <si>
    <t>CONCEPTO</t>
  </si>
  <si>
    <t>LEÓN</t>
  </si>
  <si>
    <t>BURGOS</t>
  </si>
  <si>
    <t>VLL CENTRO</t>
  </si>
  <si>
    <t>VLL ZORRILLA</t>
  </si>
  <si>
    <t>TOTAL 4 TIENDAS</t>
  </si>
  <si>
    <t>✅  TOTAL MENSUAL (4 TIENDAS)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</si>
</sst>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€#,##0.00;&quot;(€&quot;#,##0.00\);\-"/>
  </numFmts>
  <fonts count="10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b/>
      <sz val="9"/>
      <color rgb="FFFFFFFF"/>
      <name val="Arial"/>
      <charset val="1"/>
    </font>
    <font>
      <b/>
      <sz val="10"/>
      <color rgb="FFFFFFFF"/>
      <name val="Arial"/>
      <charset val="1"/>
    </font>
    <font>
      <sz val="10"/>
      <color rgb="FF0000FF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b/>
      <sz val="11"/>
      <color rgb="FFFFFFFF"/>
      <name val="Arial"/>
      <charset val="1"/>
    </font>
    <font>
      <b/>
      <sz val="14"/>
      <color rgb="FFFFFFFF"/>
      <name val="Arial"/>
      <charset val="1"/>
    </font>
    <font>
      <sz val="10"/>
      <color rgb="FF008000"/>
      <name val="Arial"/>
      <charset val="1"/>
    </font>
  </fonts>
  <fills count="13">
    <fill>
      <patternFill patternType="none"/>
    </fill>
    <fill>
      <patternFill patternType="gray125"/>
    </fill>
    <fill>
      <patternFill patternType="solid">
        <fgColor rgb="FFC0392B"/>
        <bgColor rgb="FFFF6600"/>
      </patternFill>
    </fill>
    <fill>
      <patternFill patternType="solid">
        <fgColor rgb="FF16213E"/>
        <bgColor rgb="FF1A1A2E"/>
      </patternFill>
    </fill>
    <fill>
      <patternFill patternType="solid">
        <fgColor rgb="FFF0F4F8"/>
        <bgColor rgb="FFEBF5FB"/>
      </patternFill>
    </fill>
    <fill>
      <patternFill patternType="solid">
        <fgColor rgb="FFEBF5FB"/>
        <bgColor rgb="FFF0F4F8"/>
      </patternFill>
    </fill>
    <fill>
      <patternFill patternType="solid">
        <fgColor rgb="FFD6EAF8"/>
        <bgColor rgb="FFEBF5FB"/>
      </patternFill>
    </fill>
    <fill>
      <patternFill patternType="solid">
        <fgColor rgb="FFFFFFFF"/>
        <bgColor rgb="FFF0F4F8"/>
      </patternFill>
    </fill>
    <fill>
      <patternFill patternType="solid">
        <fgColor rgb="FF1E8449"/>
        <bgColor rgb="FF008080"/>
      </patternFill>
    </fill>
    <fill>
      <patternFill patternType="solid">
        <fgColor rgb="FF6C3483"/>
        <bgColor rgb="FF8E44AD"/>
      </patternFill>
    </fill>
    <fill>
      <patternFill patternType="solid">
        <fgColor rgb="FF1A5276"/>
        <bgColor rgb="FF0F3460"/>
      </patternFill>
    </fill>
    <fill>
      <patternFill patternType="solid">
        <fgColor rgb="FF1A1A2E"/>
        <bgColor rgb="FF16213E"/>
      </patternFill>
    </fill>
    <fill>
      <patternFill patternType="solid">
        <fgColor rgb="FF0F3460"/>
        <bgColor rgb="FF16213E"/>
      </patternFill>
    </fill>
  </fills>
  <borders count="5">
    <border>
      <left/>
      <right/>
      <top/>
      <bottom/>
      <diagonal/>
    </border>
    <border>
      <left style="medium">
        <color rgb="FF555555"/>
      </left>
      <right/>
      <top style="medium">
        <color rgb="FF555555"/>
      </top>
      <bottom style="medium">
        <color rgb="FF555555"/>
      </bottom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thin">
        <color rgb="FFBDBDBD"/>
      </left>
      <right/>
      <top style="thin">
        <color rgb="FFBDBDBD"/>
      </top>
      <bottom style="thin">
        <color rgb="FFBDBDBD"/>
      </bottom>
      <diagonal/>
    </border>
    <border>
      <left style="medium">
        <color rgb="FF555555"/>
      </left>
      <right style="medium">
        <color rgb="FF555555"/>
      </right>
      <top style="medium">
        <color rgb="FF555555"/>
      </top>
      <bottom style="medium">
        <color rgb="FF55555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12" borderId="3" xfId="0" applyFont="1" applyFill="1" applyBorder="1" applyAlignment="1">
      <alignment horizontal="left" vertical="center" wrapText="1"/>
    </xf>
    <xf numFmtId="0" fontId="8" fillId="11" borderId="1" xfId="0" applyFont="1" applyFill="1" applyBorder="1" applyAlignment="1">
      <alignment horizontal="center" vertical="center" wrapText="1"/>
    </xf>
    <xf numFmtId="0" fontId="3" fillId="8" borderId="3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3" fillId="10" borderId="3" xfId="0" applyFont="1" applyFill="1" applyBorder="1" applyAlignment="1">
      <alignment horizontal="left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3" fillId="9" borderId="3" xfId="0" applyFont="1" applyFill="1" applyBorder="1" applyAlignment="1">
      <alignment horizontal="left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left" vertical="center" wrapText="1"/>
    </xf>
    <xf numFmtId="164" fontId="4" fillId="5" borderId="2" xfId="0" applyNumberFormat="1" applyFont="1" applyFill="1" applyBorder="1" applyAlignment="1">
      <alignment horizontal="right" vertical="center"/>
    </xf>
    <xf numFmtId="164" fontId="5" fillId="6" borderId="2" xfId="0" applyNumberFormat="1" applyFont="1" applyFill="1" applyBorder="1" applyAlignment="1">
      <alignment horizontal="right" vertical="center"/>
    </xf>
    <xf numFmtId="0" fontId="6" fillId="7" borderId="2" xfId="0" applyFont="1" applyFill="1" applyBorder="1" applyAlignment="1">
      <alignment horizontal="left" vertical="center" wrapText="1"/>
    </xf>
    <xf numFmtId="164" fontId="6" fillId="7" borderId="2" xfId="0" applyNumberFormat="1" applyFont="1" applyFill="1" applyBorder="1" applyAlignment="1">
      <alignment horizontal="right" vertical="center"/>
    </xf>
    <xf numFmtId="0" fontId="6" fillId="4" borderId="2" xfId="0" applyFont="1" applyFill="1" applyBorder="1" applyAlignment="1">
      <alignment horizontal="left" vertical="center" wrapText="1"/>
    </xf>
    <xf numFmtId="164" fontId="6" fillId="4" borderId="2" xfId="0" applyNumberFormat="1" applyFont="1" applyFill="1" applyBorder="1" applyAlignment="1">
      <alignment horizontal="right" vertical="center"/>
    </xf>
    <xf numFmtId="0" fontId="4" fillId="7" borderId="2" xfId="0" applyFont="1" applyFill="1" applyBorder="1" applyAlignment="1">
      <alignment horizontal="left" vertical="center" wrapText="1"/>
    </xf>
    <xf numFmtId="0" fontId="7" fillId="8" borderId="4" xfId="0" applyFont="1" applyFill="1" applyBorder="1" applyAlignment="1">
      <alignment horizontal="left" vertical="center" wrapText="1"/>
    </xf>
    <xf numFmtId="164" fontId="7" fillId="8" borderId="4" xfId="0" applyNumberFormat="1" applyFont="1" applyFill="1" applyBorder="1" applyAlignment="1">
      <alignment horizontal="right" vertical="center"/>
    </xf>
    <xf numFmtId="0" fontId="3" fillId="8" borderId="4" xfId="0" applyFont="1" applyFill="1" applyBorder="1" applyAlignment="1">
      <alignment horizontal="left" vertical="center" wrapText="1"/>
    </xf>
    <xf numFmtId="164" fontId="3" fillId="8" borderId="4" xfId="0" applyNumberFormat="1" applyFont="1" applyFill="1" applyBorder="1" applyAlignment="1">
      <alignment horizontal="right" vertical="center"/>
    </xf>
    <xf numFmtId="0" fontId="3" fillId="3" borderId="2" xfId="0" applyFont="1" applyFill="1" applyBorder="1" applyAlignment="1">
      <alignment horizontal="center" vertical="center" wrapText="1"/>
    </xf>
    <xf numFmtId="164" fontId="9" fillId="4" borderId="2" xfId="0" applyNumberFormat="1" applyFont="1" applyFill="1" applyBorder="1" applyAlignment="1">
      <alignment horizontal="right" vertical="center"/>
    </xf>
    <xf numFmtId="164" fontId="9" fillId="7" borderId="2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BDBD"/>
      <rgbColor rgb="FF808080"/>
      <rgbColor rgb="FF9999FF"/>
      <rgbColor rgb="FF6C3483"/>
      <rgbColor rgb="FFF0F4F8"/>
      <rgbColor rgb="FFD6EA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5FB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F3460"/>
      <rgbColor rgb="FF1E8449"/>
      <rgbColor rgb="FF003300"/>
      <rgbColor rgb="FF1A1A2E"/>
      <rgbColor rgb="FFC0392B"/>
      <rgbColor rgb="FF8E44AD"/>
      <rgbColor rgb="FF1A5276"/>
      <rgbColor rgb="FF16213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392B"/>
  </sheetPr>
  <dimension ref="B2:O30"/>
  <sheetViews>
    <sheetView tabSelected="1" zoomScaleNormal="100" workbookViewId="0"/>
  </sheetViews>
  <sheetFormatPr baseColWidth="10" defaultColWidth="8.6328125" defaultRowHeight="14.5" x14ac:dyDescent="0.35"/>
  <cols>
    <col min="1" max="1" width="3" customWidth="1"/>
    <col min="2" max="2" width="36" customWidth="1"/>
    <col min="3" max="14" width="13" customWidth="1"/>
    <col min="15" max="15" width="15" customWidth="1"/>
    <col min="16" max="16" width="3" customWidth="1"/>
  </cols>
  <sheetData>
    <row r="2" spans="2:15" ht="43.5" customHeight="1" x14ac:dyDescent="0.35">
      <c r="B2" s="10" t="s">
        <v>0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</row>
    <row r="4" spans="2:15" ht="27.75" customHeight="1" x14ac:dyDescent="0.35">
      <c r="B4" s="11" t="s">
        <v>1</v>
      </c>
      <c r="C4" s="11" t="s">
        <v>2</v>
      </c>
      <c r="D4" s="11" t="s">
        <v>3</v>
      </c>
      <c r="E4" s="11" t="s">
        <v>4</v>
      </c>
      <c r="F4" s="11" t="s">
        <v>5</v>
      </c>
      <c r="G4" s="11" t="s">
        <v>6</v>
      </c>
      <c r="H4" s="11" t="s">
        <v>7</v>
      </c>
      <c r="I4" s="11" t="s">
        <v>8</v>
      </c>
      <c r="J4" s="11" t="s">
        <v>9</v>
      </c>
      <c r="K4" s="11" t="s">
        <v>10</v>
      </c>
      <c r="L4" s="11" t="s">
        <v>11</v>
      </c>
      <c r="M4" s="11" t="s">
        <v>12</v>
      </c>
      <c r="N4" s="11" t="s">
        <v>13</v>
      </c>
      <c r="O4" s="11" t="s">
        <v>14</v>
      </c>
    </row>
    <row r="5" spans="2:15" ht="19.5" customHeight="1" x14ac:dyDescent="0.35">
      <c r="B5" s="9" t="s">
        <v>15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</row>
    <row r="6" spans="2:15" ht="19.5" customHeight="1" x14ac:dyDescent="0.35">
      <c r="B6" s="12" t="s">
        <v>16</v>
      </c>
      <c r="C6" s="13">
        <v>1250</v>
      </c>
      <c r="D6" s="13">
        <v>1250</v>
      </c>
      <c r="E6" s="13">
        <v>1250</v>
      </c>
      <c r="F6" s="13">
        <v>1250</v>
      </c>
      <c r="G6" s="13">
        <v>1250</v>
      </c>
      <c r="H6" s="13">
        <v>1250</v>
      </c>
      <c r="I6" s="13">
        <v>1250</v>
      </c>
      <c r="J6" s="13">
        <v>1250</v>
      </c>
      <c r="K6" s="13">
        <v>1250</v>
      </c>
      <c r="L6" s="13">
        <v>1250</v>
      </c>
      <c r="M6" s="13">
        <v>1250</v>
      </c>
      <c r="N6" s="13">
        <v>1250</v>
      </c>
      <c r="O6" s="14">
        <f t="shared" ref="O6:O14" si="0">SUM(C6:N6)</f>
        <v>15000</v>
      </c>
    </row>
    <row r="7" spans="2:15" ht="19.5" customHeight="1" x14ac:dyDescent="0.35">
      <c r="B7" s="15" t="s">
        <v>17</v>
      </c>
      <c r="C7" s="16">
        <v>3600</v>
      </c>
      <c r="D7" s="16">
        <v>3600</v>
      </c>
      <c r="E7" s="16">
        <v>3600</v>
      </c>
      <c r="F7" s="16">
        <v>3600</v>
      </c>
      <c r="G7" s="16">
        <v>3600</v>
      </c>
      <c r="H7" s="16">
        <v>3600</v>
      </c>
      <c r="I7" s="16">
        <v>3600</v>
      </c>
      <c r="J7" s="16">
        <v>3600</v>
      </c>
      <c r="K7" s="16">
        <v>3600</v>
      </c>
      <c r="L7" s="16">
        <v>3600</v>
      </c>
      <c r="M7" s="16">
        <v>3600</v>
      </c>
      <c r="N7" s="16">
        <v>3600</v>
      </c>
      <c r="O7" s="14">
        <f t="shared" si="0"/>
        <v>43200</v>
      </c>
    </row>
    <row r="8" spans="2:15" ht="19.5" customHeight="1" x14ac:dyDescent="0.35">
      <c r="B8" s="17" t="s">
        <v>18</v>
      </c>
      <c r="C8" s="18">
        <f t="shared" ref="C8:N8" si="1">C7*0.3</f>
        <v>1080</v>
      </c>
      <c r="D8" s="18">
        <f t="shared" si="1"/>
        <v>1080</v>
      </c>
      <c r="E8" s="18">
        <f t="shared" si="1"/>
        <v>1080</v>
      </c>
      <c r="F8" s="18">
        <f t="shared" si="1"/>
        <v>1080</v>
      </c>
      <c r="G8" s="18">
        <f t="shared" si="1"/>
        <v>1080</v>
      </c>
      <c r="H8" s="18">
        <f t="shared" si="1"/>
        <v>1080</v>
      </c>
      <c r="I8" s="18">
        <f t="shared" si="1"/>
        <v>1080</v>
      </c>
      <c r="J8" s="18">
        <f t="shared" si="1"/>
        <v>1080</v>
      </c>
      <c r="K8" s="18">
        <f t="shared" si="1"/>
        <v>1080</v>
      </c>
      <c r="L8" s="18">
        <f t="shared" si="1"/>
        <v>1080</v>
      </c>
      <c r="M8" s="18">
        <f t="shared" si="1"/>
        <v>1080</v>
      </c>
      <c r="N8" s="18">
        <f t="shared" si="1"/>
        <v>1080</v>
      </c>
      <c r="O8" s="14">
        <f t="shared" si="0"/>
        <v>12960</v>
      </c>
    </row>
    <row r="9" spans="2:15" ht="19.5" customHeight="1" x14ac:dyDescent="0.35">
      <c r="B9" s="19" t="s">
        <v>19</v>
      </c>
      <c r="C9" s="13">
        <v>500</v>
      </c>
      <c r="D9" s="13">
        <v>500</v>
      </c>
      <c r="E9" s="13">
        <v>500</v>
      </c>
      <c r="F9" s="13">
        <v>500</v>
      </c>
      <c r="G9" s="13">
        <v>500</v>
      </c>
      <c r="H9" s="13">
        <v>500</v>
      </c>
      <c r="I9" s="13">
        <v>500</v>
      </c>
      <c r="J9" s="13">
        <v>500</v>
      </c>
      <c r="K9" s="13">
        <v>500</v>
      </c>
      <c r="L9" s="13">
        <v>500</v>
      </c>
      <c r="M9" s="13">
        <v>500</v>
      </c>
      <c r="N9" s="13">
        <v>500</v>
      </c>
      <c r="O9" s="14">
        <f t="shared" si="0"/>
        <v>6000</v>
      </c>
    </row>
    <row r="10" spans="2:15" ht="19.5" customHeight="1" x14ac:dyDescent="0.35">
      <c r="B10" s="12" t="s">
        <v>20</v>
      </c>
      <c r="C10" s="13">
        <v>100</v>
      </c>
      <c r="D10" s="13">
        <v>100</v>
      </c>
      <c r="E10" s="13">
        <v>100</v>
      </c>
      <c r="F10" s="13">
        <v>100</v>
      </c>
      <c r="G10" s="13">
        <v>100</v>
      </c>
      <c r="H10" s="13">
        <v>100</v>
      </c>
      <c r="I10" s="13">
        <v>100</v>
      </c>
      <c r="J10" s="13">
        <v>100</v>
      </c>
      <c r="K10" s="13">
        <v>100</v>
      </c>
      <c r="L10" s="13">
        <v>100</v>
      </c>
      <c r="M10" s="13">
        <v>100</v>
      </c>
      <c r="N10" s="13">
        <v>100</v>
      </c>
      <c r="O10" s="14">
        <f t="shared" si="0"/>
        <v>1200</v>
      </c>
    </row>
    <row r="11" spans="2:15" ht="19.5" customHeight="1" x14ac:dyDescent="0.35">
      <c r="B11" s="19" t="s">
        <v>21</v>
      </c>
      <c r="C11" s="13">
        <v>83</v>
      </c>
      <c r="D11" s="13">
        <v>83</v>
      </c>
      <c r="E11" s="13">
        <v>83</v>
      </c>
      <c r="F11" s="13">
        <v>83</v>
      </c>
      <c r="G11" s="13">
        <v>83</v>
      </c>
      <c r="H11" s="13">
        <v>83</v>
      </c>
      <c r="I11" s="13">
        <v>83</v>
      </c>
      <c r="J11" s="13">
        <v>83</v>
      </c>
      <c r="K11" s="13">
        <v>83</v>
      </c>
      <c r="L11" s="13">
        <v>83</v>
      </c>
      <c r="M11" s="13">
        <v>83</v>
      </c>
      <c r="N11" s="13">
        <v>83</v>
      </c>
      <c r="O11" s="14">
        <f t="shared" si="0"/>
        <v>996</v>
      </c>
    </row>
    <row r="12" spans="2:15" ht="19.5" customHeight="1" x14ac:dyDescent="0.35">
      <c r="B12" s="12" t="s">
        <v>22</v>
      </c>
      <c r="C12" s="13">
        <v>75</v>
      </c>
      <c r="D12" s="13">
        <v>75</v>
      </c>
      <c r="E12" s="13">
        <v>75</v>
      </c>
      <c r="F12" s="13">
        <v>75</v>
      </c>
      <c r="G12" s="13">
        <v>75</v>
      </c>
      <c r="H12" s="13">
        <v>75</v>
      </c>
      <c r="I12" s="13">
        <v>75</v>
      </c>
      <c r="J12" s="13">
        <v>75</v>
      </c>
      <c r="K12" s="13">
        <v>75</v>
      </c>
      <c r="L12" s="13">
        <v>75</v>
      </c>
      <c r="M12" s="13">
        <v>75</v>
      </c>
      <c r="N12" s="13">
        <v>75</v>
      </c>
      <c r="O12" s="14">
        <f t="shared" si="0"/>
        <v>900</v>
      </c>
    </row>
    <row r="13" spans="2:15" ht="19.5" customHeight="1" x14ac:dyDescent="0.35">
      <c r="B13" s="19" t="s">
        <v>23</v>
      </c>
      <c r="C13" s="13">
        <v>120</v>
      </c>
      <c r="D13" s="13">
        <v>120</v>
      </c>
      <c r="E13" s="13">
        <v>120</v>
      </c>
      <c r="F13" s="13">
        <v>120</v>
      </c>
      <c r="G13" s="13">
        <v>120</v>
      </c>
      <c r="H13" s="13">
        <v>120</v>
      </c>
      <c r="I13" s="13">
        <v>120</v>
      </c>
      <c r="J13" s="13">
        <v>120</v>
      </c>
      <c r="K13" s="13">
        <v>120</v>
      </c>
      <c r="L13" s="13">
        <v>120</v>
      </c>
      <c r="M13" s="13">
        <v>120</v>
      </c>
      <c r="N13" s="13">
        <v>120</v>
      </c>
      <c r="O13" s="14">
        <f t="shared" si="0"/>
        <v>1440</v>
      </c>
    </row>
    <row r="14" spans="2:15" ht="19.5" customHeight="1" x14ac:dyDescent="0.35">
      <c r="B14" s="12" t="s">
        <v>24</v>
      </c>
      <c r="C14" s="13">
        <v>67</v>
      </c>
      <c r="D14" s="13">
        <v>67</v>
      </c>
      <c r="E14" s="13">
        <v>67</v>
      </c>
      <c r="F14" s="13">
        <v>67</v>
      </c>
      <c r="G14" s="13">
        <v>67</v>
      </c>
      <c r="H14" s="13">
        <v>67</v>
      </c>
      <c r="I14" s="13">
        <v>67</v>
      </c>
      <c r="J14" s="13">
        <v>67</v>
      </c>
      <c r="K14" s="13">
        <v>67</v>
      </c>
      <c r="L14" s="13">
        <v>67</v>
      </c>
      <c r="M14" s="13">
        <v>67</v>
      </c>
      <c r="N14" s="13">
        <v>67</v>
      </c>
      <c r="O14" s="14">
        <f t="shared" si="0"/>
        <v>804</v>
      </c>
    </row>
    <row r="15" spans="2:15" ht="19.5" customHeight="1" x14ac:dyDescent="0.35">
      <c r="B15" s="9" t="s">
        <v>25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spans="2:15" ht="19.5" customHeight="1" x14ac:dyDescent="0.35">
      <c r="B16" s="19" t="s">
        <v>26</v>
      </c>
      <c r="C16" s="13">
        <v>1500</v>
      </c>
      <c r="D16" s="13">
        <v>1500</v>
      </c>
      <c r="E16" s="13">
        <v>1500</v>
      </c>
      <c r="F16" s="13">
        <v>1500</v>
      </c>
      <c r="G16" s="13">
        <v>1500</v>
      </c>
      <c r="H16" s="13">
        <v>1500</v>
      </c>
      <c r="I16" s="13">
        <v>1500</v>
      </c>
      <c r="J16" s="13">
        <v>1500</v>
      </c>
      <c r="K16" s="13">
        <v>1500</v>
      </c>
      <c r="L16" s="13">
        <v>1500</v>
      </c>
      <c r="M16" s="13">
        <v>1500</v>
      </c>
      <c r="N16" s="13">
        <v>1500</v>
      </c>
      <c r="O16" s="14">
        <f t="shared" ref="O16:O23" si="2">SUM(C16:N16)</f>
        <v>18000</v>
      </c>
    </row>
    <row r="17" spans="2:15" ht="19.5" customHeight="1" x14ac:dyDescent="0.35">
      <c r="B17" s="12" t="s">
        <v>27</v>
      </c>
      <c r="C17" s="13">
        <v>2000</v>
      </c>
      <c r="D17" s="13">
        <v>2000</v>
      </c>
      <c r="E17" s="13">
        <v>2000</v>
      </c>
      <c r="F17" s="13">
        <v>2000</v>
      </c>
      <c r="G17" s="13">
        <v>2000</v>
      </c>
      <c r="H17" s="13">
        <v>2000</v>
      </c>
      <c r="I17" s="13">
        <v>2000</v>
      </c>
      <c r="J17" s="13">
        <v>2000</v>
      </c>
      <c r="K17" s="13">
        <v>2000</v>
      </c>
      <c r="L17" s="13">
        <v>2000</v>
      </c>
      <c r="M17" s="13">
        <v>2000</v>
      </c>
      <c r="N17" s="13">
        <v>2000</v>
      </c>
      <c r="O17" s="14">
        <f t="shared" si="2"/>
        <v>24000</v>
      </c>
    </row>
    <row r="18" spans="2:15" ht="19.5" customHeight="1" x14ac:dyDescent="0.35">
      <c r="B18" s="19" t="s">
        <v>28</v>
      </c>
      <c r="C18" s="13">
        <v>150</v>
      </c>
      <c r="D18" s="13">
        <v>150</v>
      </c>
      <c r="E18" s="13">
        <v>150</v>
      </c>
      <c r="F18" s="13">
        <v>150</v>
      </c>
      <c r="G18" s="13">
        <v>150</v>
      </c>
      <c r="H18" s="13">
        <v>150</v>
      </c>
      <c r="I18" s="13">
        <v>150</v>
      </c>
      <c r="J18" s="13">
        <v>150</v>
      </c>
      <c r="K18" s="13">
        <v>150</v>
      </c>
      <c r="L18" s="13">
        <v>150</v>
      </c>
      <c r="M18" s="13">
        <v>150</v>
      </c>
      <c r="N18" s="13">
        <v>150</v>
      </c>
      <c r="O18" s="14">
        <f t="shared" si="2"/>
        <v>1800</v>
      </c>
    </row>
    <row r="19" spans="2:15" ht="19.5" customHeight="1" x14ac:dyDescent="0.35">
      <c r="B19" s="12" t="s">
        <v>29</v>
      </c>
      <c r="C19" s="13">
        <v>250</v>
      </c>
      <c r="D19" s="13">
        <v>250</v>
      </c>
      <c r="E19" s="13">
        <v>250</v>
      </c>
      <c r="F19" s="13">
        <v>250</v>
      </c>
      <c r="G19" s="13">
        <v>250</v>
      </c>
      <c r="H19" s="13">
        <v>250</v>
      </c>
      <c r="I19" s="13">
        <v>250</v>
      </c>
      <c r="J19" s="13">
        <v>250</v>
      </c>
      <c r="K19" s="13">
        <v>250</v>
      </c>
      <c r="L19" s="13">
        <v>250</v>
      </c>
      <c r="M19" s="13">
        <v>250</v>
      </c>
      <c r="N19" s="13">
        <v>250</v>
      </c>
      <c r="O19" s="14">
        <f t="shared" si="2"/>
        <v>3000</v>
      </c>
    </row>
    <row r="20" spans="2:15" ht="19.5" customHeight="1" x14ac:dyDescent="0.35">
      <c r="B20" s="19" t="s">
        <v>30</v>
      </c>
      <c r="C20" s="13">
        <v>50</v>
      </c>
      <c r="D20" s="13">
        <v>50</v>
      </c>
      <c r="E20" s="13">
        <v>50</v>
      </c>
      <c r="F20" s="13">
        <v>50</v>
      </c>
      <c r="G20" s="13">
        <v>50</v>
      </c>
      <c r="H20" s="13">
        <v>50</v>
      </c>
      <c r="I20" s="13">
        <v>50</v>
      </c>
      <c r="J20" s="13">
        <v>50</v>
      </c>
      <c r="K20" s="13">
        <v>50</v>
      </c>
      <c r="L20" s="13">
        <v>50</v>
      </c>
      <c r="M20" s="13">
        <v>50</v>
      </c>
      <c r="N20" s="13">
        <v>50</v>
      </c>
      <c r="O20" s="14">
        <f t="shared" si="2"/>
        <v>600</v>
      </c>
    </row>
    <row r="21" spans="2:15" ht="19.5" customHeight="1" x14ac:dyDescent="0.35">
      <c r="B21" s="12" t="s">
        <v>31</v>
      </c>
      <c r="C21" s="13">
        <v>38</v>
      </c>
      <c r="D21" s="13">
        <v>38</v>
      </c>
      <c r="E21" s="13">
        <v>38</v>
      </c>
      <c r="F21" s="13">
        <v>38</v>
      </c>
      <c r="G21" s="13">
        <v>38</v>
      </c>
      <c r="H21" s="13">
        <v>38</v>
      </c>
      <c r="I21" s="13">
        <v>38</v>
      </c>
      <c r="J21" s="13">
        <v>38</v>
      </c>
      <c r="K21" s="13">
        <v>38</v>
      </c>
      <c r="L21" s="13">
        <v>38</v>
      </c>
      <c r="M21" s="13">
        <v>38</v>
      </c>
      <c r="N21" s="13">
        <v>38</v>
      </c>
      <c r="O21" s="14">
        <f t="shared" si="2"/>
        <v>456</v>
      </c>
    </row>
    <row r="22" spans="2:15" ht="19.5" customHeight="1" x14ac:dyDescent="0.35">
      <c r="B22" s="19" t="s">
        <v>32</v>
      </c>
      <c r="C22" s="13">
        <v>50</v>
      </c>
      <c r="D22" s="13">
        <v>50</v>
      </c>
      <c r="E22" s="13">
        <v>50</v>
      </c>
      <c r="F22" s="13">
        <v>50</v>
      </c>
      <c r="G22" s="13">
        <v>50</v>
      </c>
      <c r="H22" s="13">
        <v>50</v>
      </c>
      <c r="I22" s="13">
        <v>50</v>
      </c>
      <c r="J22" s="13">
        <v>50</v>
      </c>
      <c r="K22" s="13">
        <v>50</v>
      </c>
      <c r="L22" s="13">
        <v>50</v>
      </c>
      <c r="M22" s="13">
        <v>50</v>
      </c>
      <c r="N22" s="13">
        <v>50</v>
      </c>
      <c r="O22" s="14">
        <f t="shared" si="2"/>
        <v>600</v>
      </c>
    </row>
    <row r="23" spans="2:15" ht="19.5" customHeight="1" x14ac:dyDescent="0.35">
      <c r="B23" s="12" t="s">
        <v>33</v>
      </c>
      <c r="C23" s="13">
        <v>75</v>
      </c>
      <c r="D23" s="13">
        <v>75</v>
      </c>
      <c r="E23" s="13">
        <v>75</v>
      </c>
      <c r="F23" s="13">
        <v>75</v>
      </c>
      <c r="G23" s="13">
        <v>75</v>
      </c>
      <c r="H23" s="13">
        <v>75</v>
      </c>
      <c r="I23" s="13">
        <v>75</v>
      </c>
      <c r="J23" s="13">
        <v>75</v>
      </c>
      <c r="K23" s="13">
        <v>75</v>
      </c>
      <c r="L23" s="13">
        <v>75</v>
      </c>
      <c r="M23" s="13">
        <v>75</v>
      </c>
      <c r="N23" s="13">
        <v>75</v>
      </c>
      <c r="O23" s="14">
        <f t="shared" si="2"/>
        <v>900</v>
      </c>
    </row>
    <row r="24" spans="2:15" ht="27.75" customHeight="1" x14ac:dyDescent="0.35">
      <c r="B24" s="20" t="s">
        <v>34</v>
      </c>
      <c r="C24" s="21">
        <f t="shared" ref="C24:O24" si="3">SUM(C5:C23)</f>
        <v>10988</v>
      </c>
      <c r="D24" s="21">
        <f t="shared" si="3"/>
        <v>10988</v>
      </c>
      <c r="E24" s="21">
        <f t="shared" si="3"/>
        <v>10988</v>
      </c>
      <c r="F24" s="21">
        <f t="shared" si="3"/>
        <v>10988</v>
      </c>
      <c r="G24" s="21">
        <f t="shared" si="3"/>
        <v>10988</v>
      </c>
      <c r="H24" s="21">
        <f t="shared" si="3"/>
        <v>10988</v>
      </c>
      <c r="I24" s="21">
        <f t="shared" si="3"/>
        <v>10988</v>
      </c>
      <c r="J24" s="21">
        <f t="shared" si="3"/>
        <v>10988</v>
      </c>
      <c r="K24" s="21">
        <f t="shared" si="3"/>
        <v>10988</v>
      </c>
      <c r="L24" s="21">
        <f t="shared" si="3"/>
        <v>10988</v>
      </c>
      <c r="M24" s="21">
        <f t="shared" si="3"/>
        <v>10988</v>
      </c>
      <c r="N24" s="21">
        <f t="shared" si="3"/>
        <v>10988</v>
      </c>
      <c r="O24" s="21">
        <f t="shared" si="3"/>
        <v>131856</v>
      </c>
    </row>
    <row r="26" spans="2:15" ht="21.75" customHeight="1" x14ac:dyDescent="0.35">
      <c r="B26" s="9" t="s">
        <v>35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spans="2:15" ht="21.75" customHeight="1" x14ac:dyDescent="0.35">
      <c r="B27" s="11" t="s">
        <v>36</v>
      </c>
      <c r="C27" s="11" t="s">
        <v>37</v>
      </c>
      <c r="D27" s="11" t="s">
        <v>38</v>
      </c>
      <c r="E27" s="11" t="s">
        <v>39</v>
      </c>
      <c r="F27" s="11" t="s">
        <v>40</v>
      </c>
    </row>
    <row r="28" spans="2:15" ht="19.5" customHeight="1" x14ac:dyDescent="0.35">
      <c r="B28" s="17" t="s">
        <v>41</v>
      </c>
      <c r="C28" s="13">
        <v>1443</v>
      </c>
      <c r="D28" s="13">
        <v>1850</v>
      </c>
      <c r="E28" s="18">
        <f>D28*0.3</f>
        <v>555</v>
      </c>
      <c r="F28" s="18">
        <f>D28+E28</f>
        <v>2405</v>
      </c>
    </row>
    <row r="29" spans="2:15" ht="19.5" customHeight="1" x14ac:dyDescent="0.35">
      <c r="B29" s="15" t="s">
        <v>42</v>
      </c>
      <c r="C29" s="13">
        <v>1365</v>
      </c>
      <c r="D29" s="13">
        <v>1750</v>
      </c>
      <c r="E29" s="16">
        <f>D29*0.3</f>
        <v>525</v>
      </c>
      <c r="F29" s="16">
        <f>D29+E29</f>
        <v>2275</v>
      </c>
    </row>
    <row r="30" spans="2:15" ht="24" customHeight="1" x14ac:dyDescent="0.35">
      <c r="B30" s="22" t="s">
        <v>43</v>
      </c>
      <c r="C30" s="23">
        <f>SUM(C28:C29)</f>
        <v>2808</v>
      </c>
      <c r="D30" s="23">
        <f>SUM(D28:D29)</f>
        <v>3600</v>
      </c>
      <c r="E30" s="23">
        <f>SUM(E28:E29)</f>
        <v>1080</v>
      </c>
      <c r="F30" s="23">
        <f>SUM(F28:F29)</f>
        <v>4680</v>
      </c>
    </row>
  </sheetData>
  <mergeCells count="4">
    <mergeCell ref="B2:O2"/>
    <mergeCell ref="B5:O5"/>
    <mergeCell ref="B15:O15"/>
    <mergeCell ref="B26:O2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8E44AD"/>
  </sheetPr>
  <dimension ref="B2:O30"/>
  <sheetViews>
    <sheetView zoomScaleNormal="100" workbookViewId="0"/>
  </sheetViews>
  <sheetFormatPr baseColWidth="10" defaultColWidth="8.6328125" defaultRowHeight="14.5" x14ac:dyDescent="0.35"/>
  <cols>
    <col min="1" max="1" width="3" customWidth="1"/>
    <col min="2" max="2" width="36" customWidth="1"/>
    <col min="3" max="14" width="13" customWidth="1"/>
    <col min="15" max="15" width="15" customWidth="1"/>
    <col min="16" max="16" width="3" customWidth="1"/>
  </cols>
  <sheetData>
    <row r="2" spans="2:15" ht="43.5" customHeight="1" x14ac:dyDescent="0.35">
      <c r="B2" s="8" t="s">
        <v>44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4" spans="2:15" ht="27.75" customHeight="1" x14ac:dyDescent="0.35">
      <c r="B4" s="11" t="s">
        <v>1</v>
      </c>
      <c r="C4" s="11" t="s">
        <v>2</v>
      </c>
      <c r="D4" s="11" t="s">
        <v>3</v>
      </c>
      <c r="E4" s="11" t="s">
        <v>4</v>
      </c>
      <c r="F4" s="11" t="s">
        <v>5</v>
      </c>
      <c r="G4" s="11" t="s">
        <v>6</v>
      </c>
      <c r="H4" s="11" t="s">
        <v>7</v>
      </c>
      <c r="I4" s="11" t="s">
        <v>8</v>
      </c>
      <c r="J4" s="11" t="s">
        <v>9</v>
      </c>
      <c r="K4" s="11" t="s">
        <v>10</v>
      </c>
      <c r="L4" s="11" t="s">
        <v>11</v>
      </c>
      <c r="M4" s="11" t="s">
        <v>12</v>
      </c>
      <c r="N4" s="11" t="s">
        <v>13</v>
      </c>
      <c r="O4" s="11" t="s">
        <v>14</v>
      </c>
    </row>
    <row r="5" spans="2:15" ht="19.5" customHeight="1" x14ac:dyDescent="0.35">
      <c r="B5" s="7" t="s">
        <v>15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 spans="2:15" ht="19.5" customHeight="1" x14ac:dyDescent="0.35">
      <c r="B6" s="12" t="s">
        <v>16</v>
      </c>
      <c r="C6" s="13">
        <v>1573</v>
      </c>
      <c r="D6" s="13">
        <v>1573</v>
      </c>
      <c r="E6" s="13">
        <v>1573</v>
      </c>
      <c r="F6" s="13">
        <v>1573</v>
      </c>
      <c r="G6" s="13">
        <v>1573</v>
      </c>
      <c r="H6" s="13">
        <v>1573</v>
      </c>
      <c r="I6" s="13">
        <v>1573</v>
      </c>
      <c r="J6" s="13">
        <v>1573</v>
      </c>
      <c r="K6" s="13">
        <v>1573</v>
      </c>
      <c r="L6" s="13">
        <v>1573</v>
      </c>
      <c r="M6" s="13">
        <v>1573</v>
      </c>
      <c r="N6" s="13">
        <v>1573</v>
      </c>
      <c r="O6" s="14">
        <f t="shared" ref="O6:O14" si="0">SUM(C6:N6)</f>
        <v>18876</v>
      </c>
    </row>
    <row r="7" spans="2:15" ht="19.5" customHeight="1" x14ac:dyDescent="0.35">
      <c r="B7" s="15" t="s">
        <v>17</v>
      </c>
      <c r="C7" s="16">
        <v>3600</v>
      </c>
      <c r="D7" s="16">
        <v>3600</v>
      </c>
      <c r="E7" s="16">
        <v>3600</v>
      </c>
      <c r="F7" s="16">
        <v>3600</v>
      </c>
      <c r="G7" s="16">
        <v>3600</v>
      </c>
      <c r="H7" s="16">
        <v>3600</v>
      </c>
      <c r="I7" s="16">
        <v>3600</v>
      </c>
      <c r="J7" s="16">
        <v>3600</v>
      </c>
      <c r="K7" s="16">
        <v>3600</v>
      </c>
      <c r="L7" s="16">
        <v>3600</v>
      </c>
      <c r="M7" s="16">
        <v>3600</v>
      </c>
      <c r="N7" s="16">
        <v>3600</v>
      </c>
      <c r="O7" s="14">
        <f t="shared" si="0"/>
        <v>43200</v>
      </c>
    </row>
    <row r="8" spans="2:15" ht="19.5" customHeight="1" x14ac:dyDescent="0.35">
      <c r="B8" s="17" t="s">
        <v>18</v>
      </c>
      <c r="C8" s="18">
        <f t="shared" ref="C8:N8" si="1">C7*0.3</f>
        <v>1080</v>
      </c>
      <c r="D8" s="18">
        <f t="shared" si="1"/>
        <v>1080</v>
      </c>
      <c r="E8" s="18">
        <f t="shared" si="1"/>
        <v>1080</v>
      </c>
      <c r="F8" s="18">
        <f t="shared" si="1"/>
        <v>1080</v>
      </c>
      <c r="G8" s="18">
        <f t="shared" si="1"/>
        <v>1080</v>
      </c>
      <c r="H8" s="18">
        <f t="shared" si="1"/>
        <v>1080</v>
      </c>
      <c r="I8" s="18">
        <f t="shared" si="1"/>
        <v>1080</v>
      </c>
      <c r="J8" s="18">
        <f t="shared" si="1"/>
        <v>1080</v>
      </c>
      <c r="K8" s="18">
        <f t="shared" si="1"/>
        <v>1080</v>
      </c>
      <c r="L8" s="18">
        <f t="shared" si="1"/>
        <v>1080</v>
      </c>
      <c r="M8" s="18">
        <f t="shared" si="1"/>
        <v>1080</v>
      </c>
      <c r="N8" s="18">
        <f t="shared" si="1"/>
        <v>1080</v>
      </c>
      <c r="O8" s="14">
        <f t="shared" si="0"/>
        <v>12960</v>
      </c>
    </row>
    <row r="9" spans="2:15" ht="19.5" customHeight="1" x14ac:dyDescent="0.35">
      <c r="B9" s="19" t="s">
        <v>19</v>
      </c>
      <c r="C9" s="13">
        <v>500</v>
      </c>
      <c r="D9" s="13">
        <v>500</v>
      </c>
      <c r="E9" s="13">
        <v>500</v>
      </c>
      <c r="F9" s="13">
        <v>500</v>
      </c>
      <c r="G9" s="13">
        <v>500</v>
      </c>
      <c r="H9" s="13">
        <v>500</v>
      </c>
      <c r="I9" s="13">
        <v>500</v>
      </c>
      <c r="J9" s="13">
        <v>500</v>
      </c>
      <c r="K9" s="13">
        <v>500</v>
      </c>
      <c r="L9" s="13">
        <v>500</v>
      </c>
      <c r="M9" s="13">
        <v>500</v>
      </c>
      <c r="N9" s="13">
        <v>500</v>
      </c>
      <c r="O9" s="14">
        <f t="shared" si="0"/>
        <v>6000</v>
      </c>
    </row>
    <row r="10" spans="2:15" ht="19.5" customHeight="1" x14ac:dyDescent="0.35">
      <c r="B10" s="12" t="s">
        <v>20</v>
      </c>
      <c r="C10" s="13">
        <v>100</v>
      </c>
      <c r="D10" s="13">
        <v>100</v>
      </c>
      <c r="E10" s="13">
        <v>100</v>
      </c>
      <c r="F10" s="13">
        <v>100</v>
      </c>
      <c r="G10" s="13">
        <v>100</v>
      </c>
      <c r="H10" s="13">
        <v>100</v>
      </c>
      <c r="I10" s="13">
        <v>100</v>
      </c>
      <c r="J10" s="13">
        <v>100</v>
      </c>
      <c r="K10" s="13">
        <v>100</v>
      </c>
      <c r="L10" s="13">
        <v>100</v>
      </c>
      <c r="M10" s="13">
        <v>100</v>
      </c>
      <c r="N10" s="13">
        <v>100</v>
      </c>
      <c r="O10" s="14">
        <f t="shared" si="0"/>
        <v>1200</v>
      </c>
    </row>
    <row r="11" spans="2:15" ht="19.5" customHeight="1" x14ac:dyDescent="0.35">
      <c r="B11" s="19" t="s">
        <v>21</v>
      </c>
      <c r="C11" s="13">
        <v>83</v>
      </c>
      <c r="D11" s="13">
        <v>83</v>
      </c>
      <c r="E11" s="13">
        <v>83</v>
      </c>
      <c r="F11" s="13">
        <v>83</v>
      </c>
      <c r="G11" s="13">
        <v>83</v>
      </c>
      <c r="H11" s="13">
        <v>83</v>
      </c>
      <c r="I11" s="13">
        <v>83</v>
      </c>
      <c r="J11" s="13">
        <v>83</v>
      </c>
      <c r="K11" s="13">
        <v>83</v>
      </c>
      <c r="L11" s="13">
        <v>83</v>
      </c>
      <c r="M11" s="13">
        <v>83</v>
      </c>
      <c r="N11" s="13">
        <v>83</v>
      </c>
      <c r="O11" s="14">
        <f t="shared" si="0"/>
        <v>996</v>
      </c>
    </row>
    <row r="12" spans="2:15" ht="19.5" customHeight="1" x14ac:dyDescent="0.35">
      <c r="B12" s="12" t="s">
        <v>22</v>
      </c>
      <c r="C12" s="13">
        <v>75</v>
      </c>
      <c r="D12" s="13">
        <v>75</v>
      </c>
      <c r="E12" s="13">
        <v>75</v>
      </c>
      <c r="F12" s="13">
        <v>75</v>
      </c>
      <c r="G12" s="13">
        <v>75</v>
      </c>
      <c r="H12" s="13">
        <v>75</v>
      </c>
      <c r="I12" s="13">
        <v>75</v>
      </c>
      <c r="J12" s="13">
        <v>75</v>
      </c>
      <c r="K12" s="13">
        <v>75</v>
      </c>
      <c r="L12" s="13">
        <v>75</v>
      </c>
      <c r="M12" s="13">
        <v>75</v>
      </c>
      <c r="N12" s="13">
        <v>75</v>
      </c>
      <c r="O12" s="14">
        <f t="shared" si="0"/>
        <v>900</v>
      </c>
    </row>
    <row r="13" spans="2:15" ht="19.5" customHeight="1" x14ac:dyDescent="0.35">
      <c r="B13" s="19" t="s">
        <v>23</v>
      </c>
      <c r="C13" s="13">
        <v>120</v>
      </c>
      <c r="D13" s="13">
        <v>120</v>
      </c>
      <c r="E13" s="13">
        <v>120</v>
      </c>
      <c r="F13" s="13">
        <v>120</v>
      </c>
      <c r="G13" s="13">
        <v>120</v>
      </c>
      <c r="H13" s="13">
        <v>120</v>
      </c>
      <c r="I13" s="13">
        <v>120</v>
      </c>
      <c r="J13" s="13">
        <v>120</v>
      </c>
      <c r="K13" s="13">
        <v>120</v>
      </c>
      <c r="L13" s="13">
        <v>120</v>
      </c>
      <c r="M13" s="13">
        <v>120</v>
      </c>
      <c r="N13" s="13">
        <v>120</v>
      </c>
      <c r="O13" s="14">
        <f t="shared" si="0"/>
        <v>1440</v>
      </c>
    </row>
    <row r="14" spans="2:15" ht="19.5" customHeight="1" x14ac:dyDescent="0.35">
      <c r="B14" s="12" t="s">
        <v>24</v>
      </c>
      <c r="C14" s="13">
        <v>67</v>
      </c>
      <c r="D14" s="13">
        <v>67</v>
      </c>
      <c r="E14" s="13">
        <v>67</v>
      </c>
      <c r="F14" s="13">
        <v>67</v>
      </c>
      <c r="G14" s="13">
        <v>67</v>
      </c>
      <c r="H14" s="13">
        <v>67</v>
      </c>
      <c r="I14" s="13">
        <v>67</v>
      </c>
      <c r="J14" s="13">
        <v>67</v>
      </c>
      <c r="K14" s="13">
        <v>67</v>
      </c>
      <c r="L14" s="13">
        <v>67</v>
      </c>
      <c r="M14" s="13">
        <v>67</v>
      </c>
      <c r="N14" s="13">
        <v>67</v>
      </c>
      <c r="O14" s="14">
        <f t="shared" si="0"/>
        <v>804</v>
      </c>
    </row>
    <row r="15" spans="2:15" ht="19.5" customHeight="1" x14ac:dyDescent="0.35">
      <c r="B15" s="7" t="s">
        <v>25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spans="2:15" ht="19.5" customHeight="1" x14ac:dyDescent="0.35">
      <c r="B16" s="19" t="s">
        <v>26</v>
      </c>
      <c r="C16" s="13">
        <v>1500</v>
      </c>
      <c r="D16" s="13">
        <v>1500</v>
      </c>
      <c r="E16" s="13">
        <v>1500</v>
      </c>
      <c r="F16" s="13">
        <v>1500</v>
      </c>
      <c r="G16" s="13">
        <v>1500</v>
      </c>
      <c r="H16" s="13">
        <v>1500</v>
      </c>
      <c r="I16" s="13">
        <v>1500</v>
      </c>
      <c r="J16" s="13">
        <v>1500</v>
      </c>
      <c r="K16" s="13">
        <v>1500</v>
      </c>
      <c r="L16" s="13">
        <v>1500</v>
      </c>
      <c r="M16" s="13">
        <v>1500</v>
      </c>
      <c r="N16" s="13">
        <v>1500</v>
      </c>
      <c r="O16" s="14">
        <f t="shared" ref="O16:O23" si="2">SUM(C16:N16)</f>
        <v>18000</v>
      </c>
    </row>
    <row r="17" spans="2:15" ht="19.5" customHeight="1" x14ac:dyDescent="0.35">
      <c r="B17" s="12" t="s">
        <v>27</v>
      </c>
      <c r="C17" s="13">
        <v>2000</v>
      </c>
      <c r="D17" s="13">
        <v>2000</v>
      </c>
      <c r="E17" s="13">
        <v>2000</v>
      </c>
      <c r="F17" s="13">
        <v>2000</v>
      </c>
      <c r="G17" s="13">
        <v>2000</v>
      </c>
      <c r="H17" s="13">
        <v>2000</v>
      </c>
      <c r="I17" s="13">
        <v>2000</v>
      </c>
      <c r="J17" s="13">
        <v>2000</v>
      </c>
      <c r="K17" s="13">
        <v>2000</v>
      </c>
      <c r="L17" s="13">
        <v>2000</v>
      </c>
      <c r="M17" s="13">
        <v>2000</v>
      </c>
      <c r="N17" s="13">
        <v>2000</v>
      </c>
      <c r="O17" s="14">
        <f t="shared" si="2"/>
        <v>24000</v>
      </c>
    </row>
    <row r="18" spans="2:15" ht="19.5" customHeight="1" x14ac:dyDescent="0.35">
      <c r="B18" s="19" t="s">
        <v>28</v>
      </c>
      <c r="C18" s="13">
        <v>150</v>
      </c>
      <c r="D18" s="13">
        <v>150</v>
      </c>
      <c r="E18" s="13">
        <v>150</v>
      </c>
      <c r="F18" s="13">
        <v>150</v>
      </c>
      <c r="G18" s="13">
        <v>150</v>
      </c>
      <c r="H18" s="13">
        <v>150</v>
      </c>
      <c r="I18" s="13">
        <v>150</v>
      </c>
      <c r="J18" s="13">
        <v>150</v>
      </c>
      <c r="K18" s="13">
        <v>150</v>
      </c>
      <c r="L18" s="13">
        <v>150</v>
      </c>
      <c r="M18" s="13">
        <v>150</v>
      </c>
      <c r="N18" s="13">
        <v>150</v>
      </c>
      <c r="O18" s="14">
        <f t="shared" si="2"/>
        <v>1800</v>
      </c>
    </row>
    <row r="19" spans="2:15" ht="19.5" customHeight="1" x14ac:dyDescent="0.35">
      <c r="B19" s="12" t="s">
        <v>29</v>
      </c>
      <c r="C19" s="13">
        <v>250</v>
      </c>
      <c r="D19" s="13">
        <v>250</v>
      </c>
      <c r="E19" s="13">
        <v>250</v>
      </c>
      <c r="F19" s="13">
        <v>250</v>
      </c>
      <c r="G19" s="13">
        <v>250</v>
      </c>
      <c r="H19" s="13">
        <v>250</v>
      </c>
      <c r="I19" s="13">
        <v>250</v>
      </c>
      <c r="J19" s="13">
        <v>250</v>
      </c>
      <c r="K19" s="13">
        <v>250</v>
      </c>
      <c r="L19" s="13">
        <v>250</v>
      </c>
      <c r="M19" s="13">
        <v>250</v>
      </c>
      <c r="N19" s="13">
        <v>250</v>
      </c>
      <c r="O19" s="14">
        <f t="shared" si="2"/>
        <v>3000</v>
      </c>
    </row>
    <row r="20" spans="2:15" ht="19.5" customHeight="1" x14ac:dyDescent="0.35">
      <c r="B20" s="19" t="s">
        <v>30</v>
      </c>
      <c r="C20" s="13">
        <v>50</v>
      </c>
      <c r="D20" s="13">
        <v>50</v>
      </c>
      <c r="E20" s="13">
        <v>50</v>
      </c>
      <c r="F20" s="13">
        <v>50</v>
      </c>
      <c r="G20" s="13">
        <v>50</v>
      </c>
      <c r="H20" s="13">
        <v>50</v>
      </c>
      <c r="I20" s="13">
        <v>50</v>
      </c>
      <c r="J20" s="13">
        <v>50</v>
      </c>
      <c r="K20" s="13">
        <v>50</v>
      </c>
      <c r="L20" s="13">
        <v>50</v>
      </c>
      <c r="M20" s="13">
        <v>50</v>
      </c>
      <c r="N20" s="13">
        <v>50</v>
      </c>
      <c r="O20" s="14">
        <f t="shared" si="2"/>
        <v>600</v>
      </c>
    </row>
    <row r="21" spans="2:15" ht="19.5" customHeight="1" x14ac:dyDescent="0.35">
      <c r="B21" s="12" t="s">
        <v>31</v>
      </c>
      <c r="C21" s="13">
        <v>38</v>
      </c>
      <c r="D21" s="13">
        <v>38</v>
      </c>
      <c r="E21" s="13">
        <v>38</v>
      </c>
      <c r="F21" s="13">
        <v>38</v>
      </c>
      <c r="G21" s="13">
        <v>38</v>
      </c>
      <c r="H21" s="13">
        <v>38</v>
      </c>
      <c r="I21" s="13">
        <v>38</v>
      </c>
      <c r="J21" s="13">
        <v>38</v>
      </c>
      <c r="K21" s="13">
        <v>38</v>
      </c>
      <c r="L21" s="13">
        <v>38</v>
      </c>
      <c r="M21" s="13">
        <v>38</v>
      </c>
      <c r="N21" s="13">
        <v>38</v>
      </c>
      <c r="O21" s="14">
        <f t="shared" si="2"/>
        <v>456</v>
      </c>
    </row>
    <row r="22" spans="2:15" ht="19.5" customHeight="1" x14ac:dyDescent="0.35">
      <c r="B22" s="19" t="s">
        <v>32</v>
      </c>
      <c r="C22" s="13">
        <v>50</v>
      </c>
      <c r="D22" s="13">
        <v>50</v>
      </c>
      <c r="E22" s="13">
        <v>50</v>
      </c>
      <c r="F22" s="13">
        <v>50</v>
      </c>
      <c r="G22" s="13">
        <v>50</v>
      </c>
      <c r="H22" s="13">
        <v>50</v>
      </c>
      <c r="I22" s="13">
        <v>50</v>
      </c>
      <c r="J22" s="13">
        <v>50</v>
      </c>
      <c r="K22" s="13">
        <v>50</v>
      </c>
      <c r="L22" s="13">
        <v>50</v>
      </c>
      <c r="M22" s="13">
        <v>50</v>
      </c>
      <c r="N22" s="13">
        <v>50</v>
      </c>
      <c r="O22" s="14">
        <f t="shared" si="2"/>
        <v>600</v>
      </c>
    </row>
    <row r="23" spans="2:15" ht="19.5" customHeight="1" x14ac:dyDescent="0.35">
      <c r="B23" s="12" t="s">
        <v>33</v>
      </c>
      <c r="C23" s="13">
        <v>75</v>
      </c>
      <c r="D23" s="13">
        <v>75</v>
      </c>
      <c r="E23" s="13">
        <v>75</v>
      </c>
      <c r="F23" s="13">
        <v>75</v>
      </c>
      <c r="G23" s="13">
        <v>75</v>
      </c>
      <c r="H23" s="13">
        <v>75</v>
      </c>
      <c r="I23" s="13">
        <v>75</v>
      </c>
      <c r="J23" s="13">
        <v>75</v>
      </c>
      <c r="K23" s="13">
        <v>75</v>
      </c>
      <c r="L23" s="13">
        <v>75</v>
      </c>
      <c r="M23" s="13">
        <v>75</v>
      </c>
      <c r="N23" s="13">
        <v>75</v>
      </c>
      <c r="O23" s="14">
        <f t="shared" si="2"/>
        <v>900</v>
      </c>
    </row>
    <row r="24" spans="2:15" ht="27.75" customHeight="1" x14ac:dyDescent="0.35">
      <c r="B24" s="20" t="s">
        <v>34</v>
      </c>
      <c r="C24" s="21">
        <f t="shared" ref="C24:O24" si="3">SUM(C5:C23)</f>
        <v>11311</v>
      </c>
      <c r="D24" s="21">
        <f t="shared" si="3"/>
        <v>11311</v>
      </c>
      <c r="E24" s="21">
        <f t="shared" si="3"/>
        <v>11311</v>
      </c>
      <c r="F24" s="21">
        <f t="shared" si="3"/>
        <v>11311</v>
      </c>
      <c r="G24" s="21">
        <f t="shared" si="3"/>
        <v>11311</v>
      </c>
      <c r="H24" s="21">
        <f t="shared" si="3"/>
        <v>11311</v>
      </c>
      <c r="I24" s="21">
        <f t="shared" si="3"/>
        <v>11311</v>
      </c>
      <c r="J24" s="21">
        <f t="shared" si="3"/>
        <v>11311</v>
      </c>
      <c r="K24" s="21">
        <f t="shared" si="3"/>
        <v>11311</v>
      </c>
      <c r="L24" s="21">
        <f t="shared" si="3"/>
        <v>11311</v>
      </c>
      <c r="M24" s="21">
        <f t="shared" si="3"/>
        <v>11311</v>
      </c>
      <c r="N24" s="21">
        <f t="shared" si="3"/>
        <v>11311</v>
      </c>
      <c r="O24" s="21">
        <f t="shared" si="3"/>
        <v>135732</v>
      </c>
    </row>
    <row r="26" spans="2:15" ht="21.75" customHeight="1" x14ac:dyDescent="0.35">
      <c r="B26" s="7" t="s">
        <v>35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spans="2:15" ht="21.75" customHeight="1" x14ac:dyDescent="0.35">
      <c r="B27" s="11" t="s">
        <v>36</v>
      </c>
      <c r="C27" s="11" t="s">
        <v>37</v>
      </c>
      <c r="D27" s="11" t="s">
        <v>38</v>
      </c>
      <c r="E27" s="11" t="s">
        <v>39</v>
      </c>
      <c r="F27" s="11" t="s">
        <v>40</v>
      </c>
    </row>
    <row r="28" spans="2:15" ht="19.5" customHeight="1" x14ac:dyDescent="0.35">
      <c r="B28" s="17" t="s">
        <v>41</v>
      </c>
      <c r="C28" s="13">
        <v>1443</v>
      </c>
      <c r="D28" s="13">
        <v>1850</v>
      </c>
      <c r="E28" s="18">
        <f>D28*0.3</f>
        <v>555</v>
      </c>
      <c r="F28" s="18">
        <f>D28+E28</f>
        <v>2405</v>
      </c>
    </row>
    <row r="29" spans="2:15" ht="19.5" customHeight="1" x14ac:dyDescent="0.35">
      <c r="B29" s="15" t="s">
        <v>42</v>
      </c>
      <c r="C29" s="13">
        <v>1365</v>
      </c>
      <c r="D29" s="13">
        <v>1750</v>
      </c>
      <c r="E29" s="16">
        <f>D29*0.3</f>
        <v>525</v>
      </c>
      <c r="F29" s="16">
        <f>D29+E29</f>
        <v>2275</v>
      </c>
    </row>
    <row r="30" spans="2:15" ht="24" customHeight="1" x14ac:dyDescent="0.35">
      <c r="B30" s="22" t="s">
        <v>43</v>
      </c>
      <c r="C30" s="23">
        <f>SUM(C28:C29)</f>
        <v>2808</v>
      </c>
      <c r="D30" s="23">
        <f>SUM(D28:D29)</f>
        <v>3600</v>
      </c>
      <c r="E30" s="23">
        <f>SUM(E28:E29)</f>
        <v>1080</v>
      </c>
      <c r="F30" s="23">
        <f>SUM(F28:F29)</f>
        <v>4680</v>
      </c>
    </row>
  </sheetData>
  <mergeCells count="4">
    <mergeCell ref="B2:O2"/>
    <mergeCell ref="B5:O5"/>
    <mergeCell ref="B15:O15"/>
    <mergeCell ref="B26:O26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A5276"/>
  </sheetPr>
  <dimension ref="B2:O30"/>
  <sheetViews>
    <sheetView zoomScaleNormal="100" workbookViewId="0"/>
  </sheetViews>
  <sheetFormatPr baseColWidth="10" defaultColWidth="8.6328125" defaultRowHeight="14.5" x14ac:dyDescent="0.35"/>
  <cols>
    <col min="1" max="1" width="3" customWidth="1"/>
    <col min="2" max="2" width="36" customWidth="1"/>
    <col min="3" max="14" width="13" customWidth="1"/>
    <col min="15" max="15" width="15" customWidth="1"/>
    <col min="16" max="16" width="3" customWidth="1"/>
  </cols>
  <sheetData>
    <row r="2" spans="2:15" ht="43.5" customHeight="1" x14ac:dyDescent="0.35">
      <c r="B2" s="6" t="s">
        <v>45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</row>
    <row r="4" spans="2:15" ht="27.75" customHeight="1" x14ac:dyDescent="0.35">
      <c r="B4" s="11" t="s">
        <v>1</v>
      </c>
      <c r="C4" s="11" t="s">
        <v>2</v>
      </c>
      <c r="D4" s="11" t="s">
        <v>3</v>
      </c>
      <c r="E4" s="11" t="s">
        <v>4</v>
      </c>
      <c r="F4" s="11" t="s">
        <v>5</v>
      </c>
      <c r="G4" s="11" t="s">
        <v>6</v>
      </c>
      <c r="H4" s="11" t="s">
        <v>7</v>
      </c>
      <c r="I4" s="11" t="s">
        <v>8</v>
      </c>
      <c r="J4" s="11" t="s">
        <v>9</v>
      </c>
      <c r="K4" s="11" t="s">
        <v>10</v>
      </c>
      <c r="L4" s="11" t="s">
        <v>11</v>
      </c>
      <c r="M4" s="11" t="s">
        <v>12</v>
      </c>
      <c r="N4" s="11" t="s">
        <v>13</v>
      </c>
      <c r="O4" s="11" t="s">
        <v>14</v>
      </c>
    </row>
    <row r="5" spans="2:15" ht="19.5" customHeight="1" x14ac:dyDescent="0.35">
      <c r="B5" s="5" t="s">
        <v>15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2:15" ht="19.5" customHeight="1" x14ac:dyDescent="0.35">
      <c r="B6" s="12" t="s">
        <v>16</v>
      </c>
      <c r="C6" s="13">
        <v>950</v>
      </c>
      <c r="D6" s="13">
        <v>950</v>
      </c>
      <c r="E6" s="13">
        <v>950</v>
      </c>
      <c r="F6" s="13">
        <v>950</v>
      </c>
      <c r="G6" s="13">
        <v>950</v>
      </c>
      <c r="H6" s="13">
        <v>950</v>
      </c>
      <c r="I6" s="13">
        <v>950</v>
      </c>
      <c r="J6" s="13">
        <v>950</v>
      </c>
      <c r="K6" s="13">
        <v>950</v>
      </c>
      <c r="L6" s="13">
        <v>950</v>
      </c>
      <c r="M6" s="13">
        <v>950</v>
      </c>
      <c r="N6" s="13">
        <v>950</v>
      </c>
      <c r="O6" s="14">
        <f t="shared" ref="O6:O14" si="0">SUM(C6:N6)</f>
        <v>11400</v>
      </c>
    </row>
    <row r="7" spans="2:15" ht="19.5" customHeight="1" x14ac:dyDescent="0.35">
      <c r="B7" s="15" t="s">
        <v>17</v>
      </c>
      <c r="C7" s="16">
        <v>3600</v>
      </c>
      <c r="D7" s="16">
        <v>3600</v>
      </c>
      <c r="E7" s="16">
        <v>3600</v>
      </c>
      <c r="F7" s="16">
        <v>3600</v>
      </c>
      <c r="G7" s="16">
        <v>3600</v>
      </c>
      <c r="H7" s="16">
        <v>3600</v>
      </c>
      <c r="I7" s="16">
        <v>3600</v>
      </c>
      <c r="J7" s="16">
        <v>3600</v>
      </c>
      <c r="K7" s="16">
        <v>3600</v>
      </c>
      <c r="L7" s="16">
        <v>3600</v>
      </c>
      <c r="M7" s="16">
        <v>3600</v>
      </c>
      <c r="N7" s="16">
        <v>3600</v>
      </c>
      <c r="O7" s="14">
        <f t="shared" si="0"/>
        <v>43200</v>
      </c>
    </row>
    <row r="8" spans="2:15" ht="19.5" customHeight="1" x14ac:dyDescent="0.35">
      <c r="B8" s="17" t="s">
        <v>18</v>
      </c>
      <c r="C8" s="18">
        <f t="shared" ref="C8:N8" si="1">C7*0.3</f>
        <v>1080</v>
      </c>
      <c r="D8" s="18">
        <f t="shared" si="1"/>
        <v>1080</v>
      </c>
      <c r="E8" s="18">
        <f t="shared" si="1"/>
        <v>1080</v>
      </c>
      <c r="F8" s="18">
        <f t="shared" si="1"/>
        <v>1080</v>
      </c>
      <c r="G8" s="18">
        <f t="shared" si="1"/>
        <v>1080</v>
      </c>
      <c r="H8" s="18">
        <f t="shared" si="1"/>
        <v>1080</v>
      </c>
      <c r="I8" s="18">
        <f t="shared" si="1"/>
        <v>1080</v>
      </c>
      <c r="J8" s="18">
        <f t="shared" si="1"/>
        <v>1080</v>
      </c>
      <c r="K8" s="18">
        <f t="shared" si="1"/>
        <v>1080</v>
      </c>
      <c r="L8" s="18">
        <f t="shared" si="1"/>
        <v>1080</v>
      </c>
      <c r="M8" s="18">
        <f t="shared" si="1"/>
        <v>1080</v>
      </c>
      <c r="N8" s="18">
        <f t="shared" si="1"/>
        <v>1080</v>
      </c>
      <c r="O8" s="14">
        <f t="shared" si="0"/>
        <v>12960</v>
      </c>
    </row>
    <row r="9" spans="2:15" ht="19.5" customHeight="1" x14ac:dyDescent="0.35">
      <c r="B9" s="19" t="s">
        <v>19</v>
      </c>
      <c r="C9" s="13">
        <v>500</v>
      </c>
      <c r="D9" s="13">
        <v>500</v>
      </c>
      <c r="E9" s="13">
        <v>500</v>
      </c>
      <c r="F9" s="13">
        <v>500</v>
      </c>
      <c r="G9" s="13">
        <v>500</v>
      </c>
      <c r="H9" s="13">
        <v>500</v>
      </c>
      <c r="I9" s="13">
        <v>500</v>
      </c>
      <c r="J9" s="13">
        <v>500</v>
      </c>
      <c r="K9" s="13">
        <v>500</v>
      </c>
      <c r="L9" s="13">
        <v>500</v>
      </c>
      <c r="M9" s="13">
        <v>500</v>
      </c>
      <c r="N9" s="13">
        <v>500</v>
      </c>
      <c r="O9" s="14">
        <f t="shared" si="0"/>
        <v>6000</v>
      </c>
    </row>
    <row r="10" spans="2:15" ht="19.5" customHeight="1" x14ac:dyDescent="0.35">
      <c r="B10" s="12" t="s">
        <v>20</v>
      </c>
      <c r="C10" s="13">
        <v>100</v>
      </c>
      <c r="D10" s="13">
        <v>100</v>
      </c>
      <c r="E10" s="13">
        <v>100</v>
      </c>
      <c r="F10" s="13">
        <v>100</v>
      </c>
      <c r="G10" s="13">
        <v>100</v>
      </c>
      <c r="H10" s="13">
        <v>100</v>
      </c>
      <c r="I10" s="13">
        <v>100</v>
      </c>
      <c r="J10" s="13">
        <v>100</v>
      </c>
      <c r="K10" s="13">
        <v>100</v>
      </c>
      <c r="L10" s="13">
        <v>100</v>
      </c>
      <c r="M10" s="13">
        <v>100</v>
      </c>
      <c r="N10" s="13">
        <v>100</v>
      </c>
      <c r="O10" s="14">
        <f t="shared" si="0"/>
        <v>1200</v>
      </c>
    </row>
    <row r="11" spans="2:15" ht="19.5" customHeight="1" x14ac:dyDescent="0.35">
      <c r="B11" s="19" t="s">
        <v>21</v>
      </c>
      <c r="C11" s="13">
        <v>83</v>
      </c>
      <c r="D11" s="13">
        <v>83</v>
      </c>
      <c r="E11" s="13">
        <v>83</v>
      </c>
      <c r="F11" s="13">
        <v>83</v>
      </c>
      <c r="G11" s="13">
        <v>83</v>
      </c>
      <c r="H11" s="13">
        <v>83</v>
      </c>
      <c r="I11" s="13">
        <v>83</v>
      </c>
      <c r="J11" s="13">
        <v>83</v>
      </c>
      <c r="K11" s="13">
        <v>83</v>
      </c>
      <c r="L11" s="13">
        <v>83</v>
      </c>
      <c r="M11" s="13">
        <v>83</v>
      </c>
      <c r="N11" s="13">
        <v>83</v>
      </c>
      <c r="O11" s="14">
        <f t="shared" si="0"/>
        <v>996</v>
      </c>
    </row>
    <row r="12" spans="2:15" ht="19.5" customHeight="1" x14ac:dyDescent="0.35">
      <c r="B12" s="12" t="s">
        <v>22</v>
      </c>
      <c r="C12" s="13">
        <v>75</v>
      </c>
      <c r="D12" s="13">
        <v>75</v>
      </c>
      <c r="E12" s="13">
        <v>75</v>
      </c>
      <c r="F12" s="13">
        <v>75</v>
      </c>
      <c r="G12" s="13">
        <v>75</v>
      </c>
      <c r="H12" s="13">
        <v>75</v>
      </c>
      <c r="I12" s="13">
        <v>75</v>
      </c>
      <c r="J12" s="13">
        <v>75</v>
      </c>
      <c r="K12" s="13">
        <v>75</v>
      </c>
      <c r="L12" s="13">
        <v>75</v>
      </c>
      <c r="M12" s="13">
        <v>75</v>
      </c>
      <c r="N12" s="13">
        <v>75</v>
      </c>
      <c r="O12" s="14">
        <f t="shared" si="0"/>
        <v>900</v>
      </c>
    </row>
    <row r="13" spans="2:15" ht="19.5" customHeight="1" x14ac:dyDescent="0.35">
      <c r="B13" s="19" t="s">
        <v>23</v>
      </c>
      <c r="C13" s="13">
        <v>120</v>
      </c>
      <c r="D13" s="13">
        <v>120</v>
      </c>
      <c r="E13" s="13">
        <v>120</v>
      </c>
      <c r="F13" s="13">
        <v>120</v>
      </c>
      <c r="G13" s="13">
        <v>120</v>
      </c>
      <c r="H13" s="13">
        <v>120</v>
      </c>
      <c r="I13" s="13">
        <v>120</v>
      </c>
      <c r="J13" s="13">
        <v>120</v>
      </c>
      <c r="K13" s="13">
        <v>120</v>
      </c>
      <c r="L13" s="13">
        <v>120</v>
      </c>
      <c r="M13" s="13">
        <v>120</v>
      </c>
      <c r="N13" s="13">
        <v>120</v>
      </c>
      <c r="O13" s="14">
        <f t="shared" si="0"/>
        <v>1440</v>
      </c>
    </row>
    <row r="14" spans="2:15" ht="19.5" customHeight="1" x14ac:dyDescent="0.35">
      <c r="B14" s="12" t="s">
        <v>24</v>
      </c>
      <c r="C14" s="13">
        <v>67</v>
      </c>
      <c r="D14" s="13">
        <v>67</v>
      </c>
      <c r="E14" s="13">
        <v>67</v>
      </c>
      <c r="F14" s="13">
        <v>67</v>
      </c>
      <c r="G14" s="13">
        <v>67</v>
      </c>
      <c r="H14" s="13">
        <v>67</v>
      </c>
      <c r="I14" s="13">
        <v>67</v>
      </c>
      <c r="J14" s="13">
        <v>67</v>
      </c>
      <c r="K14" s="13">
        <v>67</v>
      </c>
      <c r="L14" s="13">
        <v>67</v>
      </c>
      <c r="M14" s="13">
        <v>67</v>
      </c>
      <c r="N14" s="13">
        <v>67</v>
      </c>
      <c r="O14" s="14">
        <f t="shared" si="0"/>
        <v>804</v>
      </c>
    </row>
    <row r="15" spans="2:15" ht="19.5" customHeight="1" x14ac:dyDescent="0.35">
      <c r="B15" s="5" t="s">
        <v>25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2:15" ht="19.5" customHeight="1" x14ac:dyDescent="0.35">
      <c r="B16" s="19" t="s">
        <v>26</v>
      </c>
      <c r="C16" s="13">
        <v>1500</v>
      </c>
      <c r="D16" s="13">
        <v>1500</v>
      </c>
      <c r="E16" s="13">
        <v>1500</v>
      </c>
      <c r="F16" s="13">
        <v>1500</v>
      </c>
      <c r="G16" s="13">
        <v>1500</v>
      </c>
      <c r="H16" s="13">
        <v>1500</v>
      </c>
      <c r="I16" s="13">
        <v>1500</v>
      </c>
      <c r="J16" s="13">
        <v>1500</v>
      </c>
      <c r="K16" s="13">
        <v>1500</v>
      </c>
      <c r="L16" s="13">
        <v>1500</v>
      </c>
      <c r="M16" s="13">
        <v>1500</v>
      </c>
      <c r="N16" s="13">
        <v>1500</v>
      </c>
      <c r="O16" s="14">
        <f t="shared" ref="O16:O23" si="2">SUM(C16:N16)</f>
        <v>18000</v>
      </c>
    </row>
    <row r="17" spans="2:15" ht="19.5" customHeight="1" x14ac:dyDescent="0.35">
      <c r="B17" s="12" t="s">
        <v>27</v>
      </c>
      <c r="C17" s="13">
        <v>2000</v>
      </c>
      <c r="D17" s="13">
        <v>2000</v>
      </c>
      <c r="E17" s="13">
        <v>2000</v>
      </c>
      <c r="F17" s="13">
        <v>2000</v>
      </c>
      <c r="G17" s="13">
        <v>2000</v>
      </c>
      <c r="H17" s="13">
        <v>2000</v>
      </c>
      <c r="I17" s="13">
        <v>2000</v>
      </c>
      <c r="J17" s="13">
        <v>2000</v>
      </c>
      <c r="K17" s="13">
        <v>2000</v>
      </c>
      <c r="L17" s="13">
        <v>2000</v>
      </c>
      <c r="M17" s="13">
        <v>2000</v>
      </c>
      <c r="N17" s="13">
        <v>2000</v>
      </c>
      <c r="O17" s="14">
        <f t="shared" si="2"/>
        <v>24000</v>
      </c>
    </row>
    <row r="18" spans="2:15" ht="19.5" customHeight="1" x14ac:dyDescent="0.35">
      <c r="B18" s="19" t="s">
        <v>28</v>
      </c>
      <c r="C18" s="13">
        <v>150</v>
      </c>
      <c r="D18" s="13">
        <v>150</v>
      </c>
      <c r="E18" s="13">
        <v>150</v>
      </c>
      <c r="F18" s="13">
        <v>150</v>
      </c>
      <c r="G18" s="13">
        <v>150</v>
      </c>
      <c r="H18" s="13">
        <v>150</v>
      </c>
      <c r="I18" s="13">
        <v>150</v>
      </c>
      <c r="J18" s="13">
        <v>150</v>
      </c>
      <c r="K18" s="13">
        <v>150</v>
      </c>
      <c r="L18" s="13">
        <v>150</v>
      </c>
      <c r="M18" s="13">
        <v>150</v>
      </c>
      <c r="N18" s="13">
        <v>150</v>
      </c>
      <c r="O18" s="14">
        <f t="shared" si="2"/>
        <v>1800</v>
      </c>
    </row>
    <row r="19" spans="2:15" ht="19.5" customHeight="1" x14ac:dyDescent="0.35">
      <c r="B19" s="12" t="s">
        <v>29</v>
      </c>
      <c r="C19" s="13">
        <v>250</v>
      </c>
      <c r="D19" s="13">
        <v>250</v>
      </c>
      <c r="E19" s="13">
        <v>250</v>
      </c>
      <c r="F19" s="13">
        <v>250</v>
      </c>
      <c r="G19" s="13">
        <v>250</v>
      </c>
      <c r="H19" s="13">
        <v>250</v>
      </c>
      <c r="I19" s="13">
        <v>250</v>
      </c>
      <c r="J19" s="13">
        <v>250</v>
      </c>
      <c r="K19" s="13">
        <v>250</v>
      </c>
      <c r="L19" s="13">
        <v>250</v>
      </c>
      <c r="M19" s="13">
        <v>250</v>
      </c>
      <c r="N19" s="13">
        <v>250</v>
      </c>
      <c r="O19" s="14">
        <f t="shared" si="2"/>
        <v>3000</v>
      </c>
    </row>
    <row r="20" spans="2:15" ht="19.5" customHeight="1" x14ac:dyDescent="0.35">
      <c r="B20" s="19" t="s">
        <v>30</v>
      </c>
      <c r="C20" s="13">
        <v>50</v>
      </c>
      <c r="D20" s="13">
        <v>50</v>
      </c>
      <c r="E20" s="13">
        <v>50</v>
      </c>
      <c r="F20" s="13">
        <v>50</v>
      </c>
      <c r="G20" s="13">
        <v>50</v>
      </c>
      <c r="H20" s="13">
        <v>50</v>
      </c>
      <c r="I20" s="13">
        <v>50</v>
      </c>
      <c r="J20" s="13">
        <v>50</v>
      </c>
      <c r="K20" s="13">
        <v>50</v>
      </c>
      <c r="L20" s="13">
        <v>50</v>
      </c>
      <c r="M20" s="13">
        <v>50</v>
      </c>
      <c r="N20" s="13">
        <v>50</v>
      </c>
      <c r="O20" s="14">
        <f t="shared" si="2"/>
        <v>600</v>
      </c>
    </row>
    <row r="21" spans="2:15" ht="19.5" customHeight="1" x14ac:dyDescent="0.35">
      <c r="B21" s="12" t="s">
        <v>31</v>
      </c>
      <c r="C21" s="13">
        <v>38</v>
      </c>
      <c r="D21" s="13">
        <v>38</v>
      </c>
      <c r="E21" s="13">
        <v>38</v>
      </c>
      <c r="F21" s="13">
        <v>38</v>
      </c>
      <c r="G21" s="13">
        <v>38</v>
      </c>
      <c r="H21" s="13">
        <v>38</v>
      </c>
      <c r="I21" s="13">
        <v>38</v>
      </c>
      <c r="J21" s="13">
        <v>38</v>
      </c>
      <c r="K21" s="13">
        <v>38</v>
      </c>
      <c r="L21" s="13">
        <v>38</v>
      </c>
      <c r="M21" s="13">
        <v>38</v>
      </c>
      <c r="N21" s="13">
        <v>38</v>
      </c>
      <c r="O21" s="14">
        <f t="shared" si="2"/>
        <v>456</v>
      </c>
    </row>
    <row r="22" spans="2:15" ht="19.5" customHeight="1" x14ac:dyDescent="0.35">
      <c r="B22" s="19" t="s">
        <v>32</v>
      </c>
      <c r="C22" s="13">
        <v>50</v>
      </c>
      <c r="D22" s="13">
        <v>50</v>
      </c>
      <c r="E22" s="13">
        <v>50</v>
      </c>
      <c r="F22" s="13">
        <v>50</v>
      </c>
      <c r="G22" s="13">
        <v>50</v>
      </c>
      <c r="H22" s="13">
        <v>50</v>
      </c>
      <c r="I22" s="13">
        <v>50</v>
      </c>
      <c r="J22" s="13">
        <v>50</v>
      </c>
      <c r="K22" s="13">
        <v>50</v>
      </c>
      <c r="L22" s="13">
        <v>50</v>
      </c>
      <c r="M22" s="13">
        <v>50</v>
      </c>
      <c r="N22" s="13">
        <v>50</v>
      </c>
      <c r="O22" s="14">
        <f t="shared" si="2"/>
        <v>600</v>
      </c>
    </row>
    <row r="23" spans="2:15" ht="19.5" customHeight="1" x14ac:dyDescent="0.35">
      <c r="B23" s="12" t="s">
        <v>33</v>
      </c>
      <c r="C23" s="13">
        <v>75</v>
      </c>
      <c r="D23" s="13">
        <v>75</v>
      </c>
      <c r="E23" s="13">
        <v>75</v>
      </c>
      <c r="F23" s="13">
        <v>75</v>
      </c>
      <c r="G23" s="13">
        <v>75</v>
      </c>
      <c r="H23" s="13">
        <v>75</v>
      </c>
      <c r="I23" s="13">
        <v>75</v>
      </c>
      <c r="J23" s="13">
        <v>75</v>
      </c>
      <c r="K23" s="13">
        <v>75</v>
      </c>
      <c r="L23" s="13">
        <v>75</v>
      </c>
      <c r="M23" s="13">
        <v>75</v>
      </c>
      <c r="N23" s="13">
        <v>75</v>
      </c>
      <c r="O23" s="14">
        <f t="shared" si="2"/>
        <v>900</v>
      </c>
    </row>
    <row r="24" spans="2:15" ht="27.75" customHeight="1" x14ac:dyDescent="0.35">
      <c r="B24" s="20" t="s">
        <v>34</v>
      </c>
      <c r="C24" s="21">
        <f t="shared" ref="C24:O24" si="3">SUM(C5:C23)</f>
        <v>10688</v>
      </c>
      <c r="D24" s="21">
        <f t="shared" si="3"/>
        <v>10688</v>
      </c>
      <c r="E24" s="21">
        <f t="shared" si="3"/>
        <v>10688</v>
      </c>
      <c r="F24" s="21">
        <f t="shared" si="3"/>
        <v>10688</v>
      </c>
      <c r="G24" s="21">
        <f t="shared" si="3"/>
        <v>10688</v>
      </c>
      <c r="H24" s="21">
        <f t="shared" si="3"/>
        <v>10688</v>
      </c>
      <c r="I24" s="21">
        <f t="shared" si="3"/>
        <v>10688</v>
      </c>
      <c r="J24" s="21">
        <f t="shared" si="3"/>
        <v>10688</v>
      </c>
      <c r="K24" s="21">
        <f t="shared" si="3"/>
        <v>10688</v>
      </c>
      <c r="L24" s="21">
        <f t="shared" si="3"/>
        <v>10688</v>
      </c>
      <c r="M24" s="21">
        <f t="shared" si="3"/>
        <v>10688</v>
      </c>
      <c r="N24" s="21">
        <f t="shared" si="3"/>
        <v>10688</v>
      </c>
      <c r="O24" s="21">
        <f t="shared" si="3"/>
        <v>128256</v>
      </c>
    </row>
    <row r="26" spans="2:15" ht="21.75" customHeight="1" x14ac:dyDescent="0.35">
      <c r="B26" s="5" t="s">
        <v>35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2:15" ht="21.75" customHeight="1" x14ac:dyDescent="0.35">
      <c r="B27" s="11" t="s">
        <v>36</v>
      </c>
      <c r="C27" s="11" t="s">
        <v>37</v>
      </c>
      <c r="D27" s="11" t="s">
        <v>38</v>
      </c>
      <c r="E27" s="11" t="s">
        <v>39</v>
      </c>
      <c r="F27" s="11" t="s">
        <v>40</v>
      </c>
    </row>
    <row r="28" spans="2:15" ht="19.5" customHeight="1" x14ac:dyDescent="0.35">
      <c r="B28" s="17" t="s">
        <v>41</v>
      </c>
      <c r="C28" s="13">
        <v>1443</v>
      </c>
      <c r="D28" s="13">
        <v>1850</v>
      </c>
      <c r="E28" s="18">
        <f>D28*0.3</f>
        <v>555</v>
      </c>
      <c r="F28" s="18">
        <f>D28+E28</f>
        <v>2405</v>
      </c>
    </row>
    <row r="29" spans="2:15" ht="19.5" customHeight="1" x14ac:dyDescent="0.35">
      <c r="B29" s="15" t="s">
        <v>42</v>
      </c>
      <c r="C29" s="13">
        <v>1365</v>
      </c>
      <c r="D29" s="13">
        <v>1750</v>
      </c>
      <c r="E29" s="16">
        <f>D29*0.3</f>
        <v>525</v>
      </c>
      <c r="F29" s="16">
        <f>D29+E29</f>
        <v>2275</v>
      </c>
    </row>
    <row r="30" spans="2:15" ht="24" customHeight="1" x14ac:dyDescent="0.35">
      <c r="B30" s="22" t="s">
        <v>43</v>
      </c>
      <c r="C30" s="23">
        <f>SUM(C28:C29)</f>
        <v>2808</v>
      </c>
      <c r="D30" s="23">
        <f>SUM(D28:D29)</f>
        <v>3600</v>
      </c>
      <c r="E30" s="23">
        <f>SUM(E28:E29)</f>
        <v>1080</v>
      </c>
      <c r="F30" s="23">
        <f>SUM(F28:F29)</f>
        <v>4680</v>
      </c>
    </row>
  </sheetData>
  <mergeCells count="4">
    <mergeCell ref="B2:O2"/>
    <mergeCell ref="B5:O5"/>
    <mergeCell ref="B15:O15"/>
    <mergeCell ref="B26:O26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E8449"/>
  </sheetPr>
  <dimension ref="B2:O30"/>
  <sheetViews>
    <sheetView zoomScaleNormal="100" workbookViewId="0"/>
  </sheetViews>
  <sheetFormatPr baseColWidth="10" defaultColWidth="8.6328125" defaultRowHeight="14.5" x14ac:dyDescent="0.35"/>
  <cols>
    <col min="1" max="1" width="3" customWidth="1"/>
    <col min="2" max="2" width="36" customWidth="1"/>
    <col min="3" max="14" width="13" customWidth="1"/>
    <col min="15" max="15" width="15" customWidth="1"/>
    <col min="16" max="16" width="3" customWidth="1"/>
  </cols>
  <sheetData>
    <row r="2" spans="2:15" ht="43.5" customHeight="1" x14ac:dyDescent="0.35">
      <c r="B2" s="4" t="s">
        <v>46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4" spans="2:15" ht="27.75" customHeight="1" x14ac:dyDescent="0.35">
      <c r="B4" s="11" t="s">
        <v>1</v>
      </c>
      <c r="C4" s="11" t="s">
        <v>2</v>
      </c>
      <c r="D4" s="11" t="s">
        <v>3</v>
      </c>
      <c r="E4" s="11" t="s">
        <v>4</v>
      </c>
      <c r="F4" s="11" t="s">
        <v>5</v>
      </c>
      <c r="G4" s="11" t="s">
        <v>6</v>
      </c>
      <c r="H4" s="11" t="s">
        <v>7</v>
      </c>
      <c r="I4" s="11" t="s">
        <v>8</v>
      </c>
      <c r="J4" s="11" t="s">
        <v>9</v>
      </c>
      <c r="K4" s="11" t="s">
        <v>10</v>
      </c>
      <c r="L4" s="11" t="s">
        <v>11</v>
      </c>
      <c r="M4" s="11" t="s">
        <v>12</v>
      </c>
      <c r="N4" s="11" t="s">
        <v>13</v>
      </c>
      <c r="O4" s="11" t="s">
        <v>14</v>
      </c>
    </row>
    <row r="5" spans="2:15" ht="19.5" customHeight="1" x14ac:dyDescent="0.35">
      <c r="B5" s="3" t="s">
        <v>15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2:15" ht="19.5" customHeight="1" x14ac:dyDescent="0.35">
      <c r="B6" s="12" t="s">
        <v>16</v>
      </c>
      <c r="C6" s="13">
        <v>650</v>
      </c>
      <c r="D6" s="13">
        <v>650</v>
      </c>
      <c r="E6" s="13">
        <v>650</v>
      </c>
      <c r="F6" s="13">
        <v>650</v>
      </c>
      <c r="G6" s="13">
        <v>650</v>
      </c>
      <c r="H6" s="13">
        <v>650</v>
      </c>
      <c r="I6" s="13">
        <v>650</v>
      </c>
      <c r="J6" s="13">
        <v>650</v>
      </c>
      <c r="K6" s="13">
        <v>650</v>
      </c>
      <c r="L6" s="13">
        <v>650</v>
      </c>
      <c r="M6" s="13">
        <v>650</v>
      </c>
      <c r="N6" s="13">
        <v>650</v>
      </c>
      <c r="O6" s="14">
        <f t="shared" ref="O6:O14" si="0">SUM(C6:N6)</f>
        <v>7800</v>
      </c>
    </row>
    <row r="7" spans="2:15" ht="19.5" customHeight="1" x14ac:dyDescent="0.35">
      <c r="B7" s="15" t="s">
        <v>17</v>
      </c>
      <c r="C7" s="16">
        <v>3600</v>
      </c>
      <c r="D7" s="16">
        <v>3600</v>
      </c>
      <c r="E7" s="16">
        <v>3600</v>
      </c>
      <c r="F7" s="16">
        <v>3600</v>
      </c>
      <c r="G7" s="16">
        <v>3600</v>
      </c>
      <c r="H7" s="16">
        <v>3600</v>
      </c>
      <c r="I7" s="16">
        <v>3600</v>
      </c>
      <c r="J7" s="16">
        <v>3600</v>
      </c>
      <c r="K7" s="16">
        <v>3600</v>
      </c>
      <c r="L7" s="16">
        <v>3600</v>
      </c>
      <c r="M7" s="16">
        <v>3600</v>
      </c>
      <c r="N7" s="16">
        <v>3600</v>
      </c>
      <c r="O7" s="14">
        <f t="shared" si="0"/>
        <v>43200</v>
      </c>
    </row>
    <row r="8" spans="2:15" ht="19.5" customHeight="1" x14ac:dyDescent="0.35">
      <c r="B8" s="17" t="s">
        <v>18</v>
      </c>
      <c r="C8" s="18">
        <f t="shared" ref="C8:N8" si="1">C7*0.3</f>
        <v>1080</v>
      </c>
      <c r="D8" s="18">
        <f t="shared" si="1"/>
        <v>1080</v>
      </c>
      <c r="E8" s="18">
        <f t="shared" si="1"/>
        <v>1080</v>
      </c>
      <c r="F8" s="18">
        <f t="shared" si="1"/>
        <v>1080</v>
      </c>
      <c r="G8" s="18">
        <f t="shared" si="1"/>
        <v>1080</v>
      </c>
      <c r="H8" s="18">
        <f t="shared" si="1"/>
        <v>1080</v>
      </c>
      <c r="I8" s="18">
        <f t="shared" si="1"/>
        <v>1080</v>
      </c>
      <c r="J8" s="18">
        <f t="shared" si="1"/>
        <v>1080</v>
      </c>
      <c r="K8" s="18">
        <f t="shared" si="1"/>
        <v>1080</v>
      </c>
      <c r="L8" s="18">
        <f t="shared" si="1"/>
        <v>1080</v>
      </c>
      <c r="M8" s="18">
        <f t="shared" si="1"/>
        <v>1080</v>
      </c>
      <c r="N8" s="18">
        <f t="shared" si="1"/>
        <v>1080</v>
      </c>
      <c r="O8" s="14">
        <f t="shared" si="0"/>
        <v>12960</v>
      </c>
    </row>
    <row r="9" spans="2:15" ht="19.5" customHeight="1" x14ac:dyDescent="0.35">
      <c r="B9" s="19" t="s">
        <v>19</v>
      </c>
      <c r="C9" s="13">
        <v>500</v>
      </c>
      <c r="D9" s="13">
        <v>500</v>
      </c>
      <c r="E9" s="13">
        <v>500</v>
      </c>
      <c r="F9" s="13">
        <v>500</v>
      </c>
      <c r="G9" s="13">
        <v>500</v>
      </c>
      <c r="H9" s="13">
        <v>500</v>
      </c>
      <c r="I9" s="13">
        <v>500</v>
      </c>
      <c r="J9" s="13">
        <v>500</v>
      </c>
      <c r="K9" s="13">
        <v>500</v>
      </c>
      <c r="L9" s="13">
        <v>500</v>
      </c>
      <c r="M9" s="13">
        <v>500</v>
      </c>
      <c r="N9" s="13">
        <v>500</v>
      </c>
      <c r="O9" s="14">
        <f t="shared" si="0"/>
        <v>6000</v>
      </c>
    </row>
    <row r="10" spans="2:15" ht="19.5" customHeight="1" x14ac:dyDescent="0.35">
      <c r="B10" s="12" t="s">
        <v>20</v>
      </c>
      <c r="C10" s="13">
        <v>100</v>
      </c>
      <c r="D10" s="13">
        <v>100</v>
      </c>
      <c r="E10" s="13">
        <v>100</v>
      </c>
      <c r="F10" s="13">
        <v>100</v>
      </c>
      <c r="G10" s="13">
        <v>100</v>
      </c>
      <c r="H10" s="13">
        <v>100</v>
      </c>
      <c r="I10" s="13">
        <v>100</v>
      </c>
      <c r="J10" s="13">
        <v>100</v>
      </c>
      <c r="K10" s="13">
        <v>100</v>
      </c>
      <c r="L10" s="13">
        <v>100</v>
      </c>
      <c r="M10" s="13">
        <v>100</v>
      </c>
      <c r="N10" s="13">
        <v>100</v>
      </c>
      <c r="O10" s="14">
        <f t="shared" si="0"/>
        <v>1200</v>
      </c>
    </row>
    <row r="11" spans="2:15" ht="19.5" customHeight="1" x14ac:dyDescent="0.35">
      <c r="B11" s="19" t="s">
        <v>21</v>
      </c>
      <c r="C11" s="13">
        <v>83</v>
      </c>
      <c r="D11" s="13">
        <v>83</v>
      </c>
      <c r="E11" s="13">
        <v>83</v>
      </c>
      <c r="F11" s="13">
        <v>83</v>
      </c>
      <c r="G11" s="13">
        <v>83</v>
      </c>
      <c r="H11" s="13">
        <v>83</v>
      </c>
      <c r="I11" s="13">
        <v>83</v>
      </c>
      <c r="J11" s="13">
        <v>83</v>
      </c>
      <c r="K11" s="13">
        <v>83</v>
      </c>
      <c r="L11" s="13">
        <v>83</v>
      </c>
      <c r="M11" s="13">
        <v>83</v>
      </c>
      <c r="N11" s="13">
        <v>83</v>
      </c>
      <c r="O11" s="14">
        <f t="shared" si="0"/>
        <v>996</v>
      </c>
    </row>
    <row r="12" spans="2:15" ht="19.5" customHeight="1" x14ac:dyDescent="0.35">
      <c r="B12" s="12" t="s">
        <v>22</v>
      </c>
      <c r="C12" s="13">
        <v>75</v>
      </c>
      <c r="D12" s="13">
        <v>75</v>
      </c>
      <c r="E12" s="13">
        <v>75</v>
      </c>
      <c r="F12" s="13">
        <v>75</v>
      </c>
      <c r="G12" s="13">
        <v>75</v>
      </c>
      <c r="H12" s="13">
        <v>75</v>
      </c>
      <c r="I12" s="13">
        <v>75</v>
      </c>
      <c r="J12" s="13">
        <v>75</v>
      </c>
      <c r="K12" s="13">
        <v>75</v>
      </c>
      <c r="L12" s="13">
        <v>75</v>
      </c>
      <c r="M12" s="13">
        <v>75</v>
      </c>
      <c r="N12" s="13">
        <v>75</v>
      </c>
      <c r="O12" s="14">
        <f t="shared" si="0"/>
        <v>900</v>
      </c>
    </row>
    <row r="13" spans="2:15" ht="19.5" customHeight="1" x14ac:dyDescent="0.35">
      <c r="B13" s="19" t="s">
        <v>23</v>
      </c>
      <c r="C13" s="13">
        <v>120</v>
      </c>
      <c r="D13" s="13">
        <v>120</v>
      </c>
      <c r="E13" s="13">
        <v>120</v>
      </c>
      <c r="F13" s="13">
        <v>120</v>
      </c>
      <c r="G13" s="13">
        <v>120</v>
      </c>
      <c r="H13" s="13">
        <v>120</v>
      </c>
      <c r="I13" s="13">
        <v>120</v>
      </c>
      <c r="J13" s="13">
        <v>120</v>
      </c>
      <c r="K13" s="13">
        <v>120</v>
      </c>
      <c r="L13" s="13">
        <v>120</v>
      </c>
      <c r="M13" s="13">
        <v>120</v>
      </c>
      <c r="N13" s="13">
        <v>120</v>
      </c>
      <c r="O13" s="14">
        <f t="shared" si="0"/>
        <v>1440</v>
      </c>
    </row>
    <row r="14" spans="2:15" ht="19.5" customHeight="1" x14ac:dyDescent="0.35">
      <c r="B14" s="12" t="s">
        <v>24</v>
      </c>
      <c r="C14" s="13">
        <v>67</v>
      </c>
      <c r="D14" s="13">
        <v>67</v>
      </c>
      <c r="E14" s="13">
        <v>67</v>
      </c>
      <c r="F14" s="13">
        <v>67</v>
      </c>
      <c r="G14" s="13">
        <v>67</v>
      </c>
      <c r="H14" s="13">
        <v>67</v>
      </c>
      <c r="I14" s="13">
        <v>67</v>
      </c>
      <c r="J14" s="13">
        <v>67</v>
      </c>
      <c r="K14" s="13">
        <v>67</v>
      </c>
      <c r="L14" s="13">
        <v>67</v>
      </c>
      <c r="M14" s="13">
        <v>67</v>
      </c>
      <c r="N14" s="13">
        <v>67</v>
      </c>
      <c r="O14" s="14">
        <f t="shared" si="0"/>
        <v>804</v>
      </c>
    </row>
    <row r="15" spans="2:15" ht="19.5" customHeight="1" x14ac:dyDescent="0.35">
      <c r="B15" s="3" t="s">
        <v>25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2:15" ht="19.5" customHeight="1" x14ac:dyDescent="0.35">
      <c r="B16" s="19" t="s">
        <v>26</v>
      </c>
      <c r="C16" s="13">
        <v>1500</v>
      </c>
      <c r="D16" s="13">
        <v>1500</v>
      </c>
      <c r="E16" s="13">
        <v>1500</v>
      </c>
      <c r="F16" s="13">
        <v>1500</v>
      </c>
      <c r="G16" s="13">
        <v>1500</v>
      </c>
      <c r="H16" s="13">
        <v>1500</v>
      </c>
      <c r="I16" s="13">
        <v>1500</v>
      </c>
      <c r="J16" s="13">
        <v>1500</v>
      </c>
      <c r="K16" s="13">
        <v>1500</v>
      </c>
      <c r="L16" s="13">
        <v>1500</v>
      </c>
      <c r="M16" s="13">
        <v>1500</v>
      </c>
      <c r="N16" s="13">
        <v>1500</v>
      </c>
      <c r="O16" s="14">
        <f t="shared" ref="O16:O23" si="2">SUM(C16:N16)</f>
        <v>18000</v>
      </c>
    </row>
    <row r="17" spans="2:15" ht="19.5" customHeight="1" x14ac:dyDescent="0.35">
      <c r="B17" s="12" t="s">
        <v>27</v>
      </c>
      <c r="C17" s="13">
        <v>2000</v>
      </c>
      <c r="D17" s="13">
        <v>2000</v>
      </c>
      <c r="E17" s="13">
        <v>2000</v>
      </c>
      <c r="F17" s="13">
        <v>2000</v>
      </c>
      <c r="G17" s="13">
        <v>2000</v>
      </c>
      <c r="H17" s="13">
        <v>2000</v>
      </c>
      <c r="I17" s="13">
        <v>2000</v>
      </c>
      <c r="J17" s="13">
        <v>2000</v>
      </c>
      <c r="K17" s="13">
        <v>2000</v>
      </c>
      <c r="L17" s="13">
        <v>2000</v>
      </c>
      <c r="M17" s="13">
        <v>2000</v>
      </c>
      <c r="N17" s="13">
        <v>2000</v>
      </c>
      <c r="O17" s="14">
        <f t="shared" si="2"/>
        <v>24000</v>
      </c>
    </row>
    <row r="18" spans="2:15" ht="19.5" customHeight="1" x14ac:dyDescent="0.35">
      <c r="B18" s="19" t="s">
        <v>28</v>
      </c>
      <c r="C18" s="13">
        <v>150</v>
      </c>
      <c r="D18" s="13">
        <v>150</v>
      </c>
      <c r="E18" s="13">
        <v>150</v>
      </c>
      <c r="F18" s="13">
        <v>150</v>
      </c>
      <c r="G18" s="13">
        <v>150</v>
      </c>
      <c r="H18" s="13">
        <v>150</v>
      </c>
      <c r="I18" s="13">
        <v>150</v>
      </c>
      <c r="J18" s="13">
        <v>150</v>
      </c>
      <c r="K18" s="13">
        <v>150</v>
      </c>
      <c r="L18" s="13">
        <v>150</v>
      </c>
      <c r="M18" s="13">
        <v>150</v>
      </c>
      <c r="N18" s="13">
        <v>150</v>
      </c>
      <c r="O18" s="14">
        <f t="shared" si="2"/>
        <v>1800</v>
      </c>
    </row>
    <row r="19" spans="2:15" ht="19.5" customHeight="1" x14ac:dyDescent="0.35">
      <c r="B19" s="12" t="s">
        <v>29</v>
      </c>
      <c r="C19" s="13">
        <v>250</v>
      </c>
      <c r="D19" s="13">
        <v>250</v>
      </c>
      <c r="E19" s="13">
        <v>250</v>
      </c>
      <c r="F19" s="13">
        <v>250</v>
      </c>
      <c r="G19" s="13">
        <v>250</v>
      </c>
      <c r="H19" s="13">
        <v>250</v>
      </c>
      <c r="I19" s="13">
        <v>250</v>
      </c>
      <c r="J19" s="13">
        <v>250</v>
      </c>
      <c r="K19" s="13">
        <v>250</v>
      </c>
      <c r="L19" s="13">
        <v>250</v>
      </c>
      <c r="M19" s="13">
        <v>250</v>
      </c>
      <c r="N19" s="13">
        <v>250</v>
      </c>
      <c r="O19" s="14">
        <f t="shared" si="2"/>
        <v>3000</v>
      </c>
    </row>
    <row r="20" spans="2:15" ht="19.5" customHeight="1" x14ac:dyDescent="0.35">
      <c r="B20" s="19" t="s">
        <v>30</v>
      </c>
      <c r="C20" s="13">
        <v>50</v>
      </c>
      <c r="D20" s="13">
        <v>50</v>
      </c>
      <c r="E20" s="13">
        <v>50</v>
      </c>
      <c r="F20" s="13">
        <v>50</v>
      </c>
      <c r="G20" s="13">
        <v>50</v>
      </c>
      <c r="H20" s="13">
        <v>50</v>
      </c>
      <c r="I20" s="13">
        <v>50</v>
      </c>
      <c r="J20" s="13">
        <v>50</v>
      </c>
      <c r="K20" s="13">
        <v>50</v>
      </c>
      <c r="L20" s="13">
        <v>50</v>
      </c>
      <c r="M20" s="13">
        <v>50</v>
      </c>
      <c r="N20" s="13">
        <v>50</v>
      </c>
      <c r="O20" s="14">
        <f t="shared" si="2"/>
        <v>600</v>
      </c>
    </row>
    <row r="21" spans="2:15" ht="19.5" customHeight="1" x14ac:dyDescent="0.35">
      <c r="B21" s="12" t="s">
        <v>31</v>
      </c>
      <c r="C21" s="13">
        <v>38</v>
      </c>
      <c r="D21" s="13">
        <v>38</v>
      </c>
      <c r="E21" s="13">
        <v>38</v>
      </c>
      <c r="F21" s="13">
        <v>38</v>
      </c>
      <c r="G21" s="13">
        <v>38</v>
      </c>
      <c r="H21" s="13">
        <v>38</v>
      </c>
      <c r="I21" s="13">
        <v>38</v>
      </c>
      <c r="J21" s="13">
        <v>38</v>
      </c>
      <c r="K21" s="13">
        <v>38</v>
      </c>
      <c r="L21" s="13">
        <v>38</v>
      </c>
      <c r="M21" s="13">
        <v>38</v>
      </c>
      <c r="N21" s="13">
        <v>38</v>
      </c>
      <c r="O21" s="14">
        <f t="shared" si="2"/>
        <v>456</v>
      </c>
    </row>
    <row r="22" spans="2:15" ht="19.5" customHeight="1" x14ac:dyDescent="0.35">
      <c r="B22" s="19" t="s">
        <v>32</v>
      </c>
      <c r="C22" s="13">
        <v>50</v>
      </c>
      <c r="D22" s="13">
        <v>50</v>
      </c>
      <c r="E22" s="13">
        <v>50</v>
      </c>
      <c r="F22" s="13">
        <v>50</v>
      </c>
      <c r="G22" s="13">
        <v>50</v>
      </c>
      <c r="H22" s="13">
        <v>50</v>
      </c>
      <c r="I22" s="13">
        <v>50</v>
      </c>
      <c r="J22" s="13">
        <v>50</v>
      </c>
      <c r="K22" s="13">
        <v>50</v>
      </c>
      <c r="L22" s="13">
        <v>50</v>
      </c>
      <c r="M22" s="13">
        <v>50</v>
      </c>
      <c r="N22" s="13">
        <v>50</v>
      </c>
      <c r="O22" s="14">
        <f t="shared" si="2"/>
        <v>600</v>
      </c>
    </row>
    <row r="23" spans="2:15" ht="19.5" customHeight="1" x14ac:dyDescent="0.35">
      <c r="B23" s="12" t="s">
        <v>33</v>
      </c>
      <c r="C23" s="13">
        <v>75</v>
      </c>
      <c r="D23" s="13">
        <v>75</v>
      </c>
      <c r="E23" s="13">
        <v>75</v>
      </c>
      <c r="F23" s="13">
        <v>75</v>
      </c>
      <c r="G23" s="13">
        <v>75</v>
      </c>
      <c r="H23" s="13">
        <v>75</v>
      </c>
      <c r="I23" s="13">
        <v>75</v>
      </c>
      <c r="J23" s="13">
        <v>75</v>
      </c>
      <c r="K23" s="13">
        <v>75</v>
      </c>
      <c r="L23" s="13">
        <v>75</v>
      </c>
      <c r="M23" s="13">
        <v>75</v>
      </c>
      <c r="N23" s="13">
        <v>75</v>
      </c>
      <c r="O23" s="14">
        <f t="shared" si="2"/>
        <v>900</v>
      </c>
    </row>
    <row r="24" spans="2:15" ht="27.75" customHeight="1" x14ac:dyDescent="0.35">
      <c r="B24" s="20" t="s">
        <v>34</v>
      </c>
      <c r="C24" s="21">
        <f t="shared" ref="C24:O24" si="3">SUM(C5:C23)</f>
        <v>10388</v>
      </c>
      <c r="D24" s="21">
        <f t="shared" si="3"/>
        <v>10388</v>
      </c>
      <c r="E24" s="21">
        <f t="shared" si="3"/>
        <v>10388</v>
      </c>
      <c r="F24" s="21">
        <f t="shared" si="3"/>
        <v>10388</v>
      </c>
      <c r="G24" s="21">
        <f t="shared" si="3"/>
        <v>10388</v>
      </c>
      <c r="H24" s="21">
        <f t="shared" si="3"/>
        <v>10388</v>
      </c>
      <c r="I24" s="21">
        <f t="shared" si="3"/>
        <v>10388</v>
      </c>
      <c r="J24" s="21">
        <f t="shared" si="3"/>
        <v>10388</v>
      </c>
      <c r="K24" s="21">
        <f t="shared" si="3"/>
        <v>10388</v>
      </c>
      <c r="L24" s="21">
        <f t="shared" si="3"/>
        <v>10388</v>
      </c>
      <c r="M24" s="21">
        <f t="shared" si="3"/>
        <v>10388</v>
      </c>
      <c r="N24" s="21">
        <f t="shared" si="3"/>
        <v>10388</v>
      </c>
      <c r="O24" s="21">
        <f t="shared" si="3"/>
        <v>124656</v>
      </c>
    </row>
    <row r="26" spans="2:15" ht="21.75" customHeight="1" x14ac:dyDescent="0.35">
      <c r="B26" s="3" t="s">
        <v>35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2:15" ht="21.75" customHeight="1" x14ac:dyDescent="0.35">
      <c r="B27" s="11" t="s">
        <v>36</v>
      </c>
      <c r="C27" s="11" t="s">
        <v>37</v>
      </c>
      <c r="D27" s="11" t="s">
        <v>38</v>
      </c>
      <c r="E27" s="11" t="s">
        <v>39</v>
      </c>
      <c r="F27" s="11" t="s">
        <v>40</v>
      </c>
    </row>
    <row r="28" spans="2:15" ht="19.5" customHeight="1" x14ac:dyDescent="0.35">
      <c r="B28" s="17" t="s">
        <v>41</v>
      </c>
      <c r="C28" s="13">
        <v>1443</v>
      </c>
      <c r="D28" s="13">
        <v>1850</v>
      </c>
      <c r="E28" s="18">
        <f>D28*0.3</f>
        <v>555</v>
      </c>
      <c r="F28" s="18">
        <f>D28+E28</f>
        <v>2405</v>
      </c>
    </row>
    <row r="29" spans="2:15" ht="19.5" customHeight="1" x14ac:dyDescent="0.35">
      <c r="B29" s="15" t="s">
        <v>42</v>
      </c>
      <c r="C29" s="13">
        <v>1365</v>
      </c>
      <c r="D29" s="13">
        <v>1750</v>
      </c>
      <c r="E29" s="16">
        <f>D29*0.3</f>
        <v>525</v>
      </c>
      <c r="F29" s="16">
        <f>D29+E29</f>
        <v>2275</v>
      </c>
    </row>
    <row r="30" spans="2:15" ht="24" customHeight="1" x14ac:dyDescent="0.35">
      <c r="B30" s="22" t="s">
        <v>43</v>
      </c>
      <c r="C30" s="23">
        <f>SUM(C28:C29)</f>
        <v>2808</v>
      </c>
      <c r="D30" s="23">
        <f>SUM(D28:D29)</f>
        <v>3600</v>
      </c>
      <c r="E30" s="23">
        <f>SUM(E28:E29)</f>
        <v>1080</v>
      </c>
      <c r="F30" s="23">
        <f>SUM(F28:F29)</f>
        <v>4680</v>
      </c>
    </row>
  </sheetData>
  <mergeCells count="4">
    <mergeCell ref="B2:O2"/>
    <mergeCell ref="B5:O5"/>
    <mergeCell ref="B15:O15"/>
    <mergeCell ref="B26:O26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A1A2E"/>
  </sheetPr>
  <dimension ref="B2:G24"/>
  <sheetViews>
    <sheetView zoomScaleNormal="100" workbookViewId="0"/>
  </sheetViews>
  <sheetFormatPr baseColWidth="10" defaultColWidth="8.6328125" defaultRowHeight="14.5" x14ac:dyDescent="0.35"/>
  <cols>
    <col min="1" max="1" width="3" customWidth="1"/>
    <col min="2" max="2" width="30" customWidth="1"/>
    <col min="3" max="6" width="14" customWidth="1"/>
    <col min="7" max="7" width="16" customWidth="1"/>
    <col min="8" max="8" width="3" customWidth="1"/>
  </cols>
  <sheetData>
    <row r="2" spans="2:7" ht="42" customHeight="1" x14ac:dyDescent="0.35">
      <c r="B2" s="2" t="s">
        <v>47</v>
      </c>
      <c r="C2" s="2"/>
      <c r="D2" s="2"/>
      <c r="E2" s="2"/>
      <c r="F2" s="2"/>
      <c r="G2" s="2"/>
    </row>
    <row r="4" spans="2:7" ht="27.75" customHeight="1" x14ac:dyDescent="0.35">
      <c r="B4" s="24" t="s">
        <v>48</v>
      </c>
      <c r="C4" s="24" t="s">
        <v>49</v>
      </c>
      <c r="D4" s="24" t="s">
        <v>50</v>
      </c>
      <c r="E4" s="24" t="s">
        <v>51</v>
      </c>
      <c r="F4" s="24" t="s">
        <v>52</v>
      </c>
      <c r="G4" s="24" t="s">
        <v>53</v>
      </c>
    </row>
    <row r="5" spans="2:7" ht="21.75" customHeight="1" x14ac:dyDescent="0.35">
      <c r="B5" s="1" t="s">
        <v>15</v>
      </c>
      <c r="C5" s="1"/>
      <c r="D5" s="1"/>
      <c r="E5" s="1"/>
      <c r="F5" s="1"/>
      <c r="G5" s="1"/>
    </row>
    <row r="6" spans="2:7" ht="19.5" customHeight="1" x14ac:dyDescent="0.35">
      <c r="B6" s="17" t="s">
        <v>16</v>
      </c>
      <c r="C6" s="25">
        <f>LEÓN!C6</f>
        <v>1250</v>
      </c>
      <c r="D6" s="25">
        <f>BURGOS!C6</f>
        <v>1573</v>
      </c>
      <c r="E6" s="25">
        <f>'VLL CENTRO'!C6</f>
        <v>950</v>
      </c>
      <c r="F6" s="25">
        <f>'VLL ZORRILLA'!C6</f>
        <v>650</v>
      </c>
      <c r="G6" s="14">
        <f t="shared" ref="G6:G14" si="0">SUM(C6:F6)</f>
        <v>4423</v>
      </c>
    </row>
    <row r="7" spans="2:7" ht="19.5" customHeight="1" x14ac:dyDescent="0.35">
      <c r="B7" s="15" t="s">
        <v>17</v>
      </c>
      <c r="C7" s="26">
        <f>LEÓN!C7</f>
        <v>3600</v>
      </c>
      <c r="D7" s="26">
        <f>BURGOS!C7</f>
        <v>3600</v>
      </c>
      <c r="E7" s="26">
        <f>'VLL CENTRO'!C7</f>
        <v>3600</v>
      </c>
      <c r="F7" s="26">
        <f>'VLL ZORRILLA'!C7</f>
        <v>3600</v>
      </c>
      <c r="G7" s="14">
        <f t="shared" si="0"/>
        <v>14400</v>
      </c>
    </row>
    <row r="8" spans="2:7" ht="19.5" customHeight="1" x14ac:dyDescent="0.35">
      <c r="B8" s="17" t="s">
        <v>18</v>
      </c>
      <c r="C8" s="25">
        <f>LEÓN!C8</f>
        <v>1080</v>
      </c>
      <c r="D8" s="25">
        <f>BURGOS!C8</f>
        <v>1080</v>
      </c>
      <c r="E8" s="25">
        <f>'VLL CENTRO'!C8</f>
        <v>1080</v>
      </c>
      <c r="F8" s="25">
        <f>'VLL ZORRILLA'!C8</f>
        <v>1080</v>
      </c>
      <c r="G8" s="14">
        <f t="shared" si="0"/>
        <v>4320</v>
      </c>
    </row>
    <row r="9" spans="2:7" ht="19.5" customHeight="1" x14ac:dyDescent="0.35">
      <c r="B9" s="15" t="s">
        <v>19</v>
      </c>
      <c r="C9" s="26">
        <f>LEÓN!C9</f>
        <v>500</v>
      </c>
      <c r="D9" s="26">
        <f>BURGOS!C9</f>
        <v>500</v>
      </c>
      <c r="E9" s="26">
        <f>'VLL CENTRO'!C9</f>
        <v>500</v>
      </c>
      <c r="F9" s="26">
        <f>'VLL ZORRILLA'!C9</f>
        <v>500</v>
      </c>
      <c r="G9" s="14">
        <f t="shared" si="0"/>
        <v>2000</v>
      </c>
    </row>
    <row r="10" spans="2:7" ht="19.5" customHeight="1" x14ac:dyDescent="0.35">
      <c r="B10" s="17" t="s">
        <v>20</v>
      </c>
      <c r="C10" s="25">
        <f>LEÓN!C10</f>
        <v>100</v>
      </c>
      <c r="D10" s="25">
        <f>BURGOS!C10</f>
        <v>100</v>
      </c>
      <c r="E10" s="25">
        <f>'VLL CENTRO'!C10</f>
        <v>100</v>
      </c>
      <c r="F10" s="25">
        <f>'VLL ZORRILLA'!C10</f>
        <v>100</v>
      </c>
      <c r="G10" s="14">
        <f t="shared" si="0"/>
        <v>400</v>
      </c>
    </row>
    <row r="11" spans="2:7" ht="19.5" customHeight="1" x14ac:dyDescent="0.35">
      <c r="B11" s="15" t="s">
        <v>21</v>
      </c>
      <c r="C11" s="26">
        <f>LEÓN!C11</f>
        <v>83</v>
      </c>
      <c r="D11" s="26">
        <f>BURGOS!C11</f>
        <v>83</v>
      </c>
      <c r="E11" s="26">
        <f>'VLL CENTRO'!C11</f>
        <v>83</v>
      </c>
      <c r="F11" s="26">
        <f>'VLL ZORRILLA'!C11</f>
        <v>83</v>
      </c>
      <c r="G11" s="14">
        <f t="shared" si="0"/>
        <v>332</v>
      </c>
    </row>
    <row r="12" spans="2:7" ht="19.5" customHeight="1" x14ac:dyDescent="0.35">
      <c r="B12" s="17" t="s">
        <v>22</v>
      </c>
      <c r="C12" s="25">
        <f>LEÓN!C12</f>
        <v>75</v>
      </c>
      <c r="D12" s="25">
        <f>BURGOS!C12</f>
        <v>75</v>
      </c>
      <c r="E12" s="25">
        <f>'VLL CENTRO'!C12</f>
        <v>75</v>
      </c>
      <c r="F12" s="25">
        <f>'VLL ZORRILLA'!C12</f>
        <v>75</v>
      </c>
      <c r="G12" s="14">
        <f t="shared" si="0"/>
        <v>300</v>
      </c>
    </row>
    <row r="13" spans="2:7" ht="19.5" customHeight="1" x14ac:dyDescent="0.35">
      <c r="B13" s="15" t="s">
        <v>23</v>
      </c>
      <c r="C13" s="26">
        <f>LEÓN!C13</f>
        <v>120</v>
      </c>
      <c r="D13" s="26">
        <f>BURGOS!C13</f>
        <v>120</v>
      </c>
      <c r="E13" s="26">
        <f>'VLL CENTRO'!C13</f>
        <v>120</v>
      </c>
      <c r="F13" s="26">
        <f>'VLL ZORRILLA'!C13</f>
        <v>120</v>
      </c>
      <c r="G13" s="14">
        <f t="shared" si="0"/>
        <v>480</v>
      </c>
    </row>
    <row r="14" spans="2:7" ht="19.5" customHeight="1" x14ac:dyDescent="0.35">
      <c r="B14" s="17" t="s">
        <v>24</v>
      </c>
      <c r="C14" s="25">
        <f>LEÓN!C14</f>
        <v>67</v>
      </c>
      <c r="D14" s="25">
        <f>BURGOS!C14</f>
        <v>67</v>
      </c>
      <c r="E14" s="25">
        <f>'VLL CENTRO'!C14</f>
        <v>67</v>
      </c>
      <c r="F14" s="25">
        <f>'VLL ZORRILLA'!C14</f>
        <v>67</v>
      </c>
      <c r="G14" s="14">
        <f t="shared" si="0"/>
        <v>268</v>
      </c>
    </row>
    <row r="15" spans="2:7" ht="21.75" customHeight="1" x14ac:dyDescent="0.35">
      <c r="B15" s="1" t="s">
        <v>25</v>
      </c>
      <c r="C15" s="1"/>
      <c r="D15" s="1"/>
      <c r="E15" s="1"/>
      <c r="F15" s="1"/>
      <c r="G15" s="1"/>
    </row>
    <row r="16" spans="2:7" ht="19.5" customHeight="1" x14ac:dyDescent="0.35">
      <c r="B16" s="15" t="s">
        <v>26</v>
      </c>
      <c r="C16" s="26">
        <f>LEÓN!C16</f>
        <v>1500</v>
      </c>
      <c r="D16" s="26">
        <f>BURGOS!C16</f>
        <v>1500</v>
      </c>
      <c r="E16" s="26">
        <f>'VLL CENTRO'!C16</f>
        <v>1500</v>
      </c>
      <c r="F16" s="26">
        <f>'VLL ZORRILLA'!C16</f>
        <v>1500</v>
      </c>
      <c r="G16" s="14">
        <f t="shared" ref="G16:G24" si="1">SUM(C16:F16)</f>
        <v>6000</v>
      </c>
    </row>
    <row r="17" spans="2:7" ht="19.5" customHeight="1" x14ac:dyDescent="0.35">
      <c r="B17" s="17" t="s">
        <v>27</v>
      </c>
      <c r="C17" s="25">
        <f>LEÓN!C17</f>
        <v>2000</v>
      </c>
      <c r="D17" s="25">
        <f>BURGOS!C17</f>
        <v>2000</v>
      </c>
      <c r="E17" s="25">
        <f>'VLL CENTRO'!C17</f>
        <v>2000</v>
      </c>
      <c r="F17" s="25">
        <f>'VLL ZORRILLA'!C17</f>
        <v>2000</v>
      </c>
      <c r="G17" s="14">
        <f t="shared" si="1"/>
        <v>8000</v>
      </c>
    </row>
    <row r="18" spans="2:7" ht="19.5" customHeight="1" x14ac:dyDescent="0.35">
      <c r="B18" s="15" t="s">
        <v>28</v>
      </c>
      <c r="C18" s="26">
        <f>LEÓN!C18</f>
        <v>150</v>
      </c>
      <c r="D18" s="26">
        <f>BURGOS!C18</f>
        <v>150</v>
      </c>
      <c r="E18" s="26">
        <f>'VLL CENTRO'!C18</f>
        <v>150</v>
      </c>
      <c r="F18" s="26">
        <f>'VLL ZORRILLA'!C18</f>
        <v>150</v>
      </c>
      <c r="G18" s="14">
        <f t="shared" si="1"/>
        <v>600</v>
      </c>
    </row>
    <row r="19" spans="2:7" ht="19.5" customHeight="1" x14ac:dyDescent="0.35">
      <c r="B19" s="17" t="s">
        <v>29</v>
      </c>
      <c r="C19" s="25">
        <f>LEÓN!C19</f>
        <v>250</v>
      </c>
      <c r="D19" s="25">
        <f>BURGOS!C19</f>
        <v>250</v>
      </c>
      <c r="E19" s="25">
        <f>'VLL CENTRO'!C19</f>
        <v>250</v>
      </c>
      <c r="F19" s="25">
        <f>'VLL ZORRILLA'!C19</f>
        <v>250</v>
      </c>
      <c r="G19" s="14">
        <f t="shared" si="1"/>
        <v>1000</v>
      </c>
    </row>
    <row r="20" spans="2:7" ht="19.5" customHeight="1" x14ac:dyDescent="0.35">
      <c r="B20" s="15" t="s">
        <v>30</v>
      </c>
      <c r="C20" s="26">
        <f>LEÓN!C20</f>
        <v>50</v>
      </c>
      <c r="D20" s="26">
        <f>BURGOS!C20</f>
        <v>50</v>
      </c>
      <c r="E20" s="26">
        <f>'VLL CENTRO'!C20</f>
        <v>50</v>
      </c>
      <c r="F20" s="26">
        <f>'VLL ZORRILLA'!C20</f>
        <v>50</v>
      </c>
      <c r="G20" s="14">
        <f t="shared" si="1"/>
        <v>200</v>
      </c>
    </row>
    <row r="21" spans="2:7" ht="19.5" customHeight="1" x14ac:dyDescent="0.35">
      <c r="B21" s="17" t="s">
        <v>31</v>
      </c>
      <c r="C21" s="25">
        <f>LEÓN!C21</f>
        <v>38</v>
      </c>
      <c r="D21" s="25">
        <f>BURGOS!C21</f>
        <v>38</v>
      </c>
      <c r="E21" s="25">
        <f>'VLL CENTRO'!C21</f>
        <v>38</v>
      </c>
      <c r="F21" s="25">
        <f>'VLL ZORRILLA'!C21</f>
        <v>38</v>
      </c>
      <c r="G21" s="14">
        <f t="shared" si="1"/>
        <v>152</v>
      </c>
    </row>
    <row r="22" spans="2:7" ht="19.5" customHeight="1" x14ac:dyDescent="0.35">
      <c r="B22" s="15" t="s">
        <v>32</v>
      </c>
      <c r="C22" s="26">
        <f>LEÓN!C22</f>
        <v>50</v>
      </c>
      <c r="D22" s="26">
        <f>BURGOS!C22</f>
        <v>50</v>
      </c>
      <c r="E22" s="26">
        <f>'VLL CENTRO'!C22</f>
        <v>50</v>
      </c>
      <c r="F22" s="26">
        <f>'VLL ZORRILLA'!C22</f>
        <v>50</v>
      </c>
      <c r="G22" s="14">
        <f t="shared" si="1"/>
        <v>200</v>
      </c>
    </row>
    <row r="23" spans="2:7" ht="19.5" customHeight="1" x14ac:dyDescent="0.35">
      <c r="B23" s="17" t="s">
        <v>33</v>
      </c>
      <c r="C23" s="25">
        <f>LEÓN!C23</f>
        <v>75</v>
      </c>
      <c r="D23" s="25">
        <f>BURGOS!C23</f>
        <v>75</v>
      </c>
      <c r="E23" s="25">
        <f>'VLL CENTRO'!C23</f>
        <v>75</v>
      </c>
      <c r="F23" s="25">
        <f>'VLL ZORRILLA'!C23</f>
        <v>75</v>
      </c>
      <c r="G23" s="14">
        <f t="shared" si="1"/>
        <v>300</v>
      </c>
    </row>
    <row r="24" spans="2:7" ht="30" customHeight="1" x14ac:dyDescent="0.35">
      <c r="B24" s="20" t="s">
        <v>54</v>
      </c>
      <c r="C24" s="21">
        <f>LEÓN!C24</f>
        <v>10988</v>
      </c>
      <c r="D24" s="21">
        <f>BURGOS!C24</f>
        <v>11311</v>
      </c>
      <c r="E24" s="21">
        <f>'VLL CENTRO'!C24</f>
        <v>10688</v>
      </c>
      <c r="F24" s="21">
        <f>'VLL ZORRILLA'!C24</f>
        <v>10388</v>
      </c>
      <c r="G24" s="21">
        <f t="shared" si="1"/>
        <v>43375</v>
      </c>
    </row>
  </sheetData>
  <mergeCells count="3">
    <mergeCell ref="B2:G2"/>
    <mergeCell ref="B5:G5"/>
    <mergeCell ref="B15:G1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LEÓN</vt:lpstr>
      <vt:lpstr>BURGOS</vt:lpstr>
      <vt:lpstr>VLL CENTRO</vt:lpstr>
      <vt:lpstr>VLL ZORRILLA</vt:lpstr>
      <vt:lpstr>📊 Resumen Consolidado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SMR Miguel Ángel Vega</cp:lastModifiedBy>
  <cp:revision>0</cp:revision>
  <dcterms:created xsi:type="dcterms:W3CDTF">2026-04-09T19:34:46Z</dcterms:created>
  <dcterms:modified xsi:type="dcterms:W3CDTF">2026-04-19T21:57:28Z</dcterms:modified>
  <dc:language>en-US</dc:language>
</cp:coreProperties>
</file>